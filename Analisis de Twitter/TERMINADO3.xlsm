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ia\OneDrive - Banco Bice\Documentos\CEN\Análisis\"/>
    </mc:Choice>
  </mc:AlternateContent>
  <xr:revisionPtr revIDLastSave="0" documentId="13_ncr:1_{A5B89766-69EF-42D3-9A22-A978493C153C}" xr6:coauthVersionLast="47" xr6:coauthVersionMax="47" xr10:uidLastSave="{00000000-0000-0000-0000-000000000000}"/>
  <bookViews>
    <workbookView xWindow="-120" yWindow="-120" windowWidth="29040" windowHeight="15720" firstSheet="4" activeTab="5" xr2:uid="{423C42E6-5237-41BD-8D8E-0D3620C6477C}"/>
  </bookViews>
  <sheets>
    <sheet name="BD GENERAL" sheetId="1" r:id="rId1"/>
    <sheet name="Maestro de Obras" sheetId="8" r:id="rId2"/>
    <sheet name="Obras Desiertas" sheetId="7" state="hidden" r:id="rId3"/>
    <sheet name="Registrar proponente" sheetId="5" r:id="rId4"/>
    <sheet name="Mestro Proponentes" sheetId="6" r:id="rId5"/>
    <sheet name="PROPONENTES" sheetId="2" r:id="rId6"/>
    <sheet name="Hoja2" sheetId="4" r:id="rId7"/>
    <sheet name="Datos Base" sheetId="3" r:id="rId8"/>
  </sheets>
  <externalReferences>
    <externalReference r:id="rId9"/>
  </externalReferences>
  <definedNames>
    <definedName name="_xlnm._FilterDatabase" localSheetId="7" hidden="1">'Datos Base'!$A$1:$B$277</definedName>
    <definedName name="_xlnm._FilterDatabase" localSheetId="6" hidden="1">Hoja2!$M$4:$AC$34</definedName>
    <definedName name="_xlnm._FilterDatabase" localSheetId="5" hidden="1">PROPONENTES!$J$164:$J$198</definedName>
    <definedName name="ALIAS">Tabla10[Alias]</definedName>
    <definedName name="AliasObra">Tabla6[Alias]</definedName>
    <definedName name="Tipo">Tabla8[Tipo]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1" l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I2" i="8" l="1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H127" i="1" l="1"/>
  <c r="I16" i="1"/>
  <c r="I14" i="1"/>
  <c r="C61" i="1"/>
  <c r="C106" i="1"/>
  <c r="R110" i="1"/>
  <c r="C72" i="1"/>
  <c r="C71" i="1"/>
  <c r="C4" i="1"/>
  <c r="D4" i="1"/>
  <c r="C47" i="1"/>
  <c r="D64" i="1"/>
  <c r="D40" i="1"/>
  <c r="F101" i="1"/>
  <c r="I125" i="1"/>
  <c r="C118" i="1"/>
  <c r="C94" i="1"/>
  <c r="C82" i="1"/>
  <c r="C70" i="1"/>
  <c r="C58" i="1"/>
  <c r="C46" i="1"/>
  <c r="C34" i="1"/>
  <c r="C22" i="1"/>
  <c r="C10" i="1"/>
  <c r="D123" i="1"/>
  <c r="D111" i="1"/>
  <c r="D99" i="1"/>
  <c r="D89" i="1"/>
  <c r="D74" i="1"/>
  <c r="D63" i="1"/>
  <c r="D51" i="1"/>
  <c r="D39" i="1"/>
  <c r="D27" i="1"/>
  <c r="D15" i="1"/>
  <c r="E4" i="1"/>
  <c r="F116" i="1"/>
  <c r="F100" i="1"/>
  <c r="F71" i="1"/>
  <c r="F35" i="1"/>
  <c r="H113" i="1"/>
  <c r="H65" i="1"/>
  <c r="I118" i="1"/>
  <c r="I5" i="1"/>
  <c r="L111" i="1"/>
  <c r="M91" i="1"/>
  <c r="N72" i="1"/>
  <c r="C119" i="1"/>
  <c r="C59" i="1"/>
  <c r="D124" i="1"/>
  <c r="D78" i="1"/>
  <c r="F80" i="1"/>
  <c r="H75" i="1"/>
  <c r="N85" i="1"/>
  <c r="O101" i="1"/>
  <c r="O113" i="1"/>
  <c r="O125" i="1"/>
  <c r="G112" i="1"/>
  <c r="G124" i="1"/>
  <c r="G96" i="1"/>
  <c r="G16" i="1"/>
  <c r="G28" i="1"/>
  <c r="G40" i="1"/>
  <c r="G52" i="1"/>
  <c r="G64" i="1"/>
  <c r="G78" i="1"/>
  <c r="G87" i="1"/>
  <c r="O7" i="1"/>
  <c r="O19" i="1"/>
  <c r="O31" i="1"/>
  <c r="O43" i="1"/>
  <c r="O55" i="1"/>
  <c r="O67" i="1"/>
  <c r="O76" i="1"/>
  <c r="O90" i="1"/>
  <c r="E13" i="1"/>
  <c r="E25" i="1"/>
  <c r="E37" i="1"/>
  <c r="E49" i="1"/>
  <c r="E61" i="1"/>
  <c r="E72" i="1"/>
  <c r="E85" i="1"/>
  <c r="E97" i="1"/>
  <c r="E109" i="1"/>
  <c r="E121" i="1"/>
  <c r="K8" i="1"/>
  <c r="K20" i="1"/>
  <c r="K32" i="1"/>
  <c r="K44" i="1"/>
  <c r="K56" i="1"/>
  <c r="K68" i="1"/>
  <c r="K77" i="1"/>
  <c r="K91" i="1"/>
  <c r="K104" i="1"/>
  <c r="K116" i="1"/>
  <c r="K128" i="1"/>
  <c r="S15" i="1"/>
  <c r="S27" i="1"/>
  <c r="S39" i="1"/>
  <c r="S51" i="1"/>
  <c r="S63" i="1"/>
  <c r="S74" i="1"/>
  <c r="S89" i="1"/>
  <c r="S99" i="1"/>
  <c r="S111" i="1"/>
  <c r="S123" i="1"/>
  <c r="R10" i="1"/>
  <c r="R22" i="1"/>
  <c r="R34" i="1"/>
  <c r="R46" i="1"/>
  <c r="R58" i="1"/>
  <c r="R70" i="1"/>
  <c r="R82" i="1"/>
  <c r="R94" i="1"/>
  <c r="R106" i="1"/>
  <c r="R118" i="1"/>
  <c r="Q5" i="1"/>
  <c r="Q17" i="1"/>
  <c r="Q29" i="1"/>
  <c r="Q41" i="1"/>
  <c r="Q53" i="1"/>
  <c r="Q65" i="1"/>
  <c r="Q79" i="1"/>
  <c r="Q88" i="1"/>
  <c r="Q101" i="1"/>
  <c r="Q113" i="1"/>
  <c r="Q125" i="1"/>
  <c r="P12" i="1"/>
  <c r="P24" i="1"/>
  <c r="P36" i="1"/>
  <c r="P48" i="1"/>
  <c r="P60" i="1"/>
  <c r="P75" i="1"/>
  <c r="P84" i="1"/>
  <c r="P96" i="1"/>
  <c r="O102" i="1"/>
  <c r="O114" i="1"/>
  <c r="O126" i="1"/>
  <c r="G113" i="1"/>
  <c r="G125" i="1"/>
  <c r="G5" i="1"/>
  <c r="G17" i="1"/>
  <c r="G29" i="1"/>
  <c r="G41" i="1"/>
  <c r="G53" i="1"/>
  <c r="G65" i="1"/>
  <c r="G79" i="1"/>
  <c r="G88" i="1"/>
  <c r="O8" i="1"/>
  <c r="O20" i="1"/>
  <c r="O32" i="1"/>
  <c r="O44" i="1"/>
  <c r="O56" i="1"/>
  <c r="O68" i="1"/>
  <c r="O77" i="1"/>
  <c r="O91" i="1"/>
  <c r="E14" i="1"/>
  <c r="E26" i="1"/>
  <c r="E38" i="1"/>
  <c r="E50" i="1"/>
  <c r="E62" i="1"/>
  <c r="E73" i="1"/>
  <c r="E86" i="1"/>
  <c r="E98" i="1"/>
  <c r="E110" i="1"/>
  <c r="E122" i="1"/>
  <c r="K9" i="1"/>
  <c r="K21" i="1"/>
  <c r="K33" i="1"/>
  <c r="K45" i="1"/>
  <c r="K57" i="1"/>
  <c r="K69" i="1"/>
  <c r="K81" i="1"/>
  <c r="K92" i="1"/>
  <c r="K105" i="1"/>
  <c r="K117" i="1"/>
  <c r="S4" i="1"/>
  <c r="S16" i="1"/>
  <c r="S28" i="1"/>
  <c r="S40" i="1"/>
  <c r="S52" i="1"/>
  <c r="S64" i="1"/>
  <c r="S78" i="1"/>
  <c r="S87" i="1"/>
  <c r="S100" i="1"/>
  <c r="S112" i="1"/>
  <c r="S124" i="1"/>
  <c r="R11" i="1"/>
  <c r="R23" i="1"/>
  <c r="R35" i="1"/>
  <c r="R47" i="1"/>
  <c r="R59" i="1"/>
  <c r="R71" i="1"/>
  <c r="R83" i="1"/>
  <c r="R95" i="1"/>
  <c r="R107" i="1"/>
  <c r="R119" i="1"/>
  <c r="Q6" i="1"/>
  <c r="Q18" i="1"/>
  <c r="Q30" i="1"/>
  <c r="Q42" i="1"/>
  <c r="Q54" i="1"/>
  <c r="Q66" i="1"/>
  <c r="Q80" i="1"/>
  <c r="Q93" i="1"/>
  <c r="Q102" i="1"/>
  <c r="Q114" i="1"/>
  <c r="Q126" i="1"/>
  <c r="P13" i="1"/>
  <c r="P25" i="1"/>
  <c r="P37" i="1"/>
  <c r="P49" i="1"/>
  <c r="P61" i="1"/>
  <c r="P72" i="1"/>
  <c r="P85" i="1"/>
  <c r="P97" i="1"/>
  <c r="O103" i="1"/>
  <c r="O115" i="1"/>
  <c r="O127" i="1"/>
  <c r="G114" i="1"/>
  <c r="G126" i="1"/>
  <c r="G6" i="1"/>
  <c r="G18" i="1"/>
  <c r="G30" i="1"/>
  <c r="G42" i="1"/>
  <c r="G54" i="1"/>
  <c r="G66" i="1"/>
  <c r="G80" i="1"/>
  <c r="G93" i="1"/>
  <c r="O9" i="1"/>
  <c r="O21" i="1"/>
  <c r="O33" i="1"/>
  <c r="O45" i="1"/>
  <c r="O57" i="1"/>
  <c r="O69" i="1"/>
  <c r="O81" i="1"/>
  <c r="O92" i="1"/>
  <c r="E15" i="1"/>
  <c r="E27" i="1"/>
  <c r="E39" i="1"/>
  <c r="E51" i="1"/>
  <c r="E63" i="1"/>
  <c r="E74" i="1"/>
  <c r="E89" i="1"/>
  <c r="E99" i="1"/>
  <c r="E111" i="1"/>
  <c r="E123" i="1"/>
  <c r="K10" i="1"/>
  <c r="K22" i="1"/>
  <c r="K34" i="1"/>
  <c r="K46" i="1"/>
  <c r="K58" i="1"/>
  <c r="K70" i="1"/>
  <c r="K82" i="1"/>
  <c r="K94" i="1"/>
  <c r="K106" i="1"/>
  <c r="K118" i="1"/>
  <c r="S5" i="1"/>
  <c r="S17" i="1"/>
  <c r="S29" i="1"/>
  <c r="S41" i="1"/>
  <c r="S53" i="1"/>
  <c r="S65" i="1"/>
  <c r="S79" i="1"/>
  <c r="S88" i="1"/>
  <c r="S101" i="1"/>
  <c r="S113" i="1"/>
  <c r="S125" i="1"/>
  <c r="R12" i="1"/>
  <c r="R24" i="1"/>
  <c r="R36" i="1"/>
  <c r="R48" i="1"/>
  <c r="R60" i="1"/>
  <c r="R75" i="1"/>
  <c r="R84" i="1"/>
  <c r="R96" i="1"/>
  <c r="R108" i="1"/>
  <c r="R120" i="1"/>
  <c r="Q7" i="1"/>
  <c r="Q19" i="1"/>
  <c r="Q31" i="1"/>
  <c r="Q43" i="1"/>
  <c r="Q55" i="1"/>
  <c r="Q67" i="1"/>
  <c r="Q76" i="1"/>
  <c r="Q90" i="1"/>
  <c r="Q103" i="1"/>
  <c r="Q115" i="1"/>
  <c r="Q127" i="1"/>
  <c r="P14" i="1"/>
  <c r="P26" i="1"/>
  <c r="P38" i="1"/>
  <c r="P50" i="1"/>
  <c r="P62" i="1"/>
  <c r="P73" i="1"/>
  <c r="P86" i="1"/>
  <c r="P98" i="1"/>
  <c r="O104" i="1"/>
  <c r="O116" i="1"/>
  <c r="O128" i="1"/>
  <c r="G115" i="1"/>
  <c r="G127" i="1"/>
  <c r="G7" i="1"/>
  <c r="G19" i="1"/>
  <c r="G31" i="1"/>
  <c r="G43" i="1"/>
  <c r="G55" i="1"/>
  <c r="G67" i="1"/>
  <c r="G76" i="1"/>
  <c r="G90" i="1"/>
  <c r="O10" i="1"/>
  <c r="O22" i="1"/>
  <c r="O34" i="1"/>
  <c r="O46" i="1"/>
  <c r="O58" i="1"/>
  <c r="O70" i="1"/>
  <c r="O82" i="1"/>
  <c r="O94" i="1"/>
  <c r="E16" i="1"/>
  <c r="E28" i="1"/>
  <c r="E40" i="1"/>
  <c r="E52" i="1"/>
  <c r="E64" i="1"/>
  <c r="E78" i="1"/>
  <c r="E87" i="1"/>
  <c r="E100" i="1"/>
  <c r="E112" i="1"/>
  <c r="E124" i="1"/>
  <c r="K11" i="1"/>
  <c r="K23" i="1"/>
  <c r="K35" i="1"/>
  <c r="K47" i="1"/>
  <c r="K59" i="1"/>
  <c r="K71" i="1"/>
  <c r="K83" i="1"/>
  <c r="K95" i="1"/>
  <c r="K107" i="1"/>
  <c r="K119" i="1"/>
  <c r="S6" i="1"/>
  <c r="S18" i="1"/>
  <c r="S30" i="1"/>
  <c r="S42" i="1"/>
  <c r="S54" i="1"/>
  <c r="S66" i="1"/>
  <c r="S80" i="1"/>
  <c r="S93" i="1"/>
  <c r="S102" i="1"/>
  <c r="S114" i="1"/>
  <c r="S126" i="1"/>
  <c r="R13" i="1"/>
  <c r="R25" i="1"/>
  <c r="R37" i="1"/>
  <c r="R49" i="1"/>
  <c r="R61" i="1"/>
  <c r="R72" i="1"/>
  <c r="R85" i="1"/>
  <c r="R97" i="1"/>
  <c r="R109" i="1"/>
  <c r="R121" i="1"/>
  <c r="Q8" i="1"/>
  <c r="Q20" i="1"/>
  <c r="Q32" i="1"/>
  <c r="Q44" i="1"/>
  <c r="Q56" i="1"/>
  <c r="Q68" i="1"/>
  <c r="Q77" i="1"/>
  <c r="Q91" i="1"/>
  <c r="Q104" i="1"/>
  <c r="Q116" i="1"/>
  <c r="Q128" i="1"/>
  <c r="P15" i="1"/>
  <c r="P27" i="1"/>
  <c r="P39" i="1"/>
  <c r="P51" i="1"/>
  <c r="P63" i="1"/>
  <c r="P74" i="1"/>
  <c r="P89" i="1"/>
  <c r="P99" i="1"/>
  <c r="P111" i="1"/>
  <c r="P123" i="1"/>
  <c r="O106" i="1"/>
  <c r="O118" i="1"/>
  <c r="G105" i="1"/>
  <c r="G117" i="1"/>
  <c r="G103" i="1"/>
  <c r="G9" i="1"/>
  <c r="G21" i="1"/>
  <c r="G33" i="1"/>
  <c r="G45" i="1"/>
  <c r="G57" i="1"/>
  <c r="G69" i="1"/>
  <c r="G81" i="1"/>
  <c r="G92" i="1"/>
  <c r="O12" i="1"/>
  <c r="O24" i="1"/>
  <c r="O36" i="1"/>
  <c r="O48" i="1"/>
  <c r="O60" i="1"/>
  <c r="O75" i="1"/>
  <c r="O84" i="1"/>
  <c r="E6" i="1"/>
  <c r="E18" i="1"/>
  <c r="E30" i="1"/>
  <c r="E42" i="1"/>
  <c r="E54" i="1"/>
  <c r="E66" i="1"/>
  <c r="E80" i="1"/>
  <c r="E93" i="1"/>
  <c r="E102" i="1"/>
  <c r="E114" i="1"/>
  <c r="E126" i="1"/>
  <c r="K13" i="1"/>
  <c r="K25" i="1"/>
  <c r="K37" i="1"/>
  <c r="K49" i="1"/>
  <c r="K61" i="1"/>
  <c r="K72" i="1"/>
  <c r="K85" i="1"/>
  <c r="K97" i="1"/>
  <c r="K109" i="1"/>
  <c r="K121" i="1"/>
  <c r="S8" i="1"/>
  <c r="O107" i="1"/>
  <c r="O119" i="1"/>
  <c r="G106" i="1"/>
  <c r="G118" i="1"/>
  <c r="G100" i="1"/>
  <c r="G10" i="1"/>
  <c r="G22" i="1"/>
  <c r="G34" i="1"/>
  <c r="G46" i="1"/>
  <c r="G58" i="1"/>
  <c r="G70" i="1"/>
  <c r="G82" i="1"/>
  <c r="G94" i="1"/>
  <c r="O13" i="1"/>
  <c r="O25" i="1"/>
  <c r="O37" i="1"/>
  <c r="O49" i="1"/>
  <c r="O61" i="1"/>
  <c r="O72" i="1"/>
  <c r="O85" i="1"/>
  <c r="E7" i="1"/>
  <c r="E19" i="1"/>
  <c r="E31" i="1"/>
  <c r="E43" i="1"/>
  <c r="E55" i="1"/>
  <c r="E67" i="1"/>
  <c r="E76" i="1"/>
  <c r="E90" i="1"/>
  <c r="E103" i="1"/>
  <c r="E115" i="1"/>
  <c r="E127" i="1"/>
  <c r="K14" i="1"/>
  <c r="K26" i="1"/>
  <c r="K38" i="1"/>
  <c r="K50" i="1"/>
  <c r="K62" i="1"/>
  <c r="K73" i="1"/>
  <c r="K86" i="1"/>
  <c r="K98" i="1"/>
  <c r="K110" i="1"/>
  <c r="K122" i="1"/>
  <c r="S9" i="1"/>
  <c r="S21" i="1"/>
  <c r="S33" i="1"/>
  <c r="S45" i="1"/>
  <c r="S57" i="1"/>
  <c r="S69" i="1"/>
  <c r="S81" i="1"/>
  <c r="S92" i="1"/>
  <c r="S105" i="1"/>
  <c r="S117" i="1"/>
  <c r="R4" i="1"/>
  <c r="R16" i="1"/>
  <c r="R28" i="1"/>
  <c r="R40" i="1"/>
  <c r="R52" i="1"/>
  <c r="R64" i="1"/>
  <c r="R78" i="1"/>
  <c r="R87" i="1"/>
  <c r="R100" i="1"/>
  <c r="R112" i="1"/>
  <c r="R124" i="1"/>
  <c r="Q11" i="1"/>
  <c r="Q23" i="1"/>
  <c r="Q35" i="1"/>
  <c r="Q47" i="1"/>
  <c r="Q59" i="1"/>
  <c r="Q71" i="1"/>
  <c r="Q83" i="1"/>
  <c r="Q95" i="1"/>
  <c r="Q107" i="1"/>
  <c r="Q119" i="1"/>
  <c r="P6" i="1"/>
  <c r="P18" i="1"/>
  <c r="P30" i="1"/>
  <c r="P42" i="1"/>
  <c r="P54" i="1"/>
  <c r="P66" i="1"/>
  <c r="P80" i="1"/>
  <c r="P93" i="1"/>
  <c r="P102" i="1"/>
  <c r="O108" i="1"/>
  <c r="O120" i="1"/>
  <c r="G107" i="1"/>
  <c r="G119" i="1"/>
  <c r="G101" i="1"/>
  <c r="G11" i="1"/>
  <c r="G23" i="1"/>
  <c r="G35" i="1"/>
  <c r="G47" i="1"/>
  <c r="G59" i="1"/>
  <c r="G71" i="1"/>
  <c r="G83" i="1"/>
  <c r="G95" i="1"/>
  <c r="O14" i="1"/>
  <c r="O26" i="1"/>
  <c r="O38" i="1"/>
  <c r="O50" i="1"/>
  <c r="O62" i="1"/>
  <c r="O73" i="1"/>
  <c r="O86" i="1"/>
  <c r="E8" i="1"/>
  <c r="E20" i="1"/>
  <c r="E32" i="1"/>
  <c r="E44" i="1"/>
  <c r="E56" i="1"/>
  <c r="E68" i="1"/>
  <c r="E77" i="1"/>
  <c r="E91" i="1"/>
  <c r="E104" i="1"/>
  <c r="E116" i="1"/>
  <c r="E128" i="1"/>
  <c r="K15" i="1"/>
  <c r="K27" i="1"/>
  <c r="K39" i="1"/>
  <c r="K51" i="1"/>
  <c r="K63" i="1"/>
  <c r="K74" i="1"/>
  <c r="K89" i="1"/>
  <c r="K99" i="1"/>
  <c r="K111" i="1"/>
  <c r="K123" i="1"/>
  <c r="S10" i="1"/>
  <c r="S22" i="1"/>
  <c r="S34" i="1"/>
  <c r="S46" i="1"/>
  <c r="S58" i="1"/>
  <c r="S70" i="1"/>
  <c r="S82" i="1"/>
  <c r="S94" i="1"/>
  <c r="S106" i="1"/>
  <c r="S118" i="1"/>
  <c r="R5" i="1"/>
  <c r="R17" i="1"/>
  <c r="R29" i="1"/>
  <c r="R41" i="1"/>
  <c r="R53" i="1"/>
  <c r="R65" i="1"/>
  <c r="R79" i="1"/>
  <c r="R88" i="1"/>
  <c r="R101" i="1"/>
  <c r="R113" i="1"/>
  <c r="R125" i="1"/>
  <c r="Q12" i="1"/>
  <c r="Q24" i="1"/>
  <c r="Q36" i="1"/>
  <c r="Q48" i="1"/>
  <c r="Q60" i="1"/>
  <c r="Q75" i="1"/>
  <c r="Q84" i="1"/>
  <c r="Q96" i="1"/>
  <c r="Q108" i="1"/>
  <c r="Q120" i="1"/>
  <c r="P7" i="1"/>
  <c r="P19" i="1"/>
  <c r="P31" i="1"/>
  <c r="P43" i="1"/>
  <c r="P55" i="1"/>
  <c r="P67" i="1"/>
  <c r="P76" i="1"/>
  <c r="P90" i="1"/>
  <c r="P103" i="1"/>
  <c r="O97" i="1"/>
  <c r="O109" i="1"/>
  <c r="O121" i="1"/>
  <c r="G108" i="1"/>
  <c r="G120" i="1"/>
  <c r="G102" i="1"/>
  <c r="G12" i="1"/>
  <c r="G24" i="1"/>
  <c r="G36" i="1"/>
  <c r="G48" i="1"/>
  <c r="G60" i="1"/>
  <c r="G75" i="1"/>
  <c r="G84" i="1"/>
  <c r="O95" i="1"/>
  <c r="O15" i="1"/>
  <c r="O27" i="1"/>
  <c r="O39" i="1"/>
  <c r="O51" i="1"/>
  <c r="O63" i="1"/>
  <c r="O74" i="1"/>
  <c r="O89" i="1"/>
  <c r="E9" i="1"/>
  <c r="E21" i="1"/>
  <c r="E33" i="1"/>
  <c r="E45" i="1"/>
  <c r="E57" i="1"/>
  <c r="E69" i="1"/>
  <c r="E81" i="1"/>
  <c r="E92" i="1"/>
  <c r="E105" i="1"/>
  <c r="E117" i="1"/>
  <c r="K4" i="1"/>
  <c r="K16" i="1"/>
  <c r="K28" i="1"/>
  <c r="K40" i="1"/>
  <c r="K52" i="1"/>
  <c r="K64" i="1"/>
  <c r="K78" i="1"/>
  <c r="K87" i="1"/>
  <c r="K100" i="1"/>
  <c r="K112" i="1"/>
  <c r="K124" i="1"/>
  <c r="S11" i="1"/>
  <c r="S23" i="1"/>
  <c r="S35" i="1"/>
  <c r="S47" i="1"/>
  <c r="S59" i="1"/>
  <c r="S71" i="1"/>
  <c r="S83" i="1"/>
  <c r="S95" i="1"/>
  <c r="S107" i="1"/>
  <c r="S119" i="1"/>
  <c r="R6" i="1"/>
  <c r="R18" i="1"/>
  <c r="R30" i="1"/>
  <c r="R42" i="1"/>
  <c r="R54" i="1"/>
  <c r="R66" i="1"/>
  <c r="R80" i="1"/>
  <c r="R93" i="1"/>
  <c r="R102" i="1"/>
  <c r="R114" i="1"/>
  <c r="R126" i="1"/>
  <c r="Q13" i="1"/>
  <c r="Q25" i="1"/>
  <c r="Q37" i="1"/>
  <c r="Q49" i="1"/>
  <c r="Q61" i="1"/>
  <c r="Q72" i="1"/>
  <c r="Q85" i="1"/>
  <c r="Q97" i="1"/>
  <c r="Q109" i="1"/>
  <c r="Q121" i="1"/>
  <c r="P8" i="1"/>
  <c r="O98" i="1"/>
  <c r="O110" i="1"/>
  <c r="O122" i="1"/>
  <c r="G109" i="1"/>
  <c r="G121" i="1"/>
  <c r="G98" i="1"/>
  <c r="G13" i="1"/>
  <c r="G25" i="1"/>
  <c r="G37" i="1"/>
  <c r="G49" i="1"/>
  <c r="G61" i="1"/>
  <c r="G72" i="1"/>
  <c r="G85" i="1"/>
  <c r="O96" i="1"/>
  <c r="O16" i="1"/>
  <c r="O28" i="1"/>
  <c r="O40" i="1"/>
  <c r="O52" i="1"/>
  <c r="O64" i="1"/>
  <c r="O78" i="1"/>
  <c r="O87" i="1"/>
  <c r="E10" i="1"/>
  <c r="E22" i="1"/>
  <c r="E34" i="1"/>
  <c r="E46" i="1"/>
  <c r="E58" i="1"/>
  <c r="E70" i="1"/>
  <c r="E82" i="1"/>
  <c r="E94" i="1"/>
  <c r="E106" i="1"/>
  <c r="E118" i="1"/>
  <c r="K5" i="1"/>
  <c r="K17" i="1"/>
  <c r="K29" i="1"/>
  <c r="K41" i="1"/>
  <c r="K53" i="1"/>
  <c r="K65" i="1"/>
  <c r="K79" i="1"/>
  <c r="K88" i="1"/>
  <c r="K101" i="1"/>
  <c r="K113" i="1"/>
  <c r="K125" i="1"/>
  <c r="S12" i="1"/>
  <c r="S24" i="1"/>
  <c r="S36" i="1"/>
  <c r="S48" i="1"/>
  <c r="S60" i="1"/>
  <c r="S75" i="1"/>
  <c r="S84" i="1"/>
  <c r="S96" i="1"/>
  <c r="S108" i="1"/>
  <c r="S120" i="1"/>
  <c r="R7" i="1"/>
  <c r="R19" i="1"/>
  <c r="R31" i="1"/>
  <c r="R43" i="1"/>
  <c r="R55" i="1"/>
  <c r="R67" i="1"/>
  <c r="R76" i="1"/>
  <c r="R90" i="1"/>
  <c r="R103" i="1"/>
  <c r="R115" i="1"/>
  <c r="R127" i="1"/>
  <c r="Q14" i="1"/>
  <c r="Q26" i="1"/>
  <c r="Q38" i="1"/>
  <c r="Q50" i="1"/>
  <c r="Q62" i="1"/>
  <c r="Q73" i="1"/>
  <c r="Q86" i="1"/>
  <c r="Q98" i="1"/>
  <c r="Q110" i="1"/>
  <c r="Q122" i="1"/>
  <c r="P9" i="1"/>
  <c r="P21" i="1"/>
  <c r="P33" i="1"/>
  <c r="P45" i="1"/>
  <c r="P57" i="1"/>
  <c r="P69" i="1"/>
  <c r="P81" i="1"/>
  <c r="P92" i="1"/>
  <c r="P105" i="1"/>
  <c r="P117" i="1"/>
  <c r="O99" i="1"/>
  <c r="O111" i="1"/>
  <c r="O123" i="1"/>
  <c r="G110" i="1"/>
  <c r="G122" i="1"/>
  <c r="G99" i="1"/>
  <c r="G14" i="1"/>
  <c r="G26" i="1"/>
  <c r="G38" i="1"/>
  <c r="G50" i="1"/>
  <c r="G62" i="1"/>
  <c r="G73" i="1"/>
  <c r="G86" i="1"/>
  <c r="O5" i="1"/>
  <c r="O17" i="1"/>
  <c r="O29" i="1"/>
  <c r="O41" i="1"/>
  <c r="O53" i="1"/>
  <c r="O65" i="1"/>
  <c r="O79" i="1"/>
  <c r="O88" i="1"/>
  <c r="E11" i="1"/>
  <c r="E23" i="1"/>
  <c r="E35" i="1"/>
  <c r="E47" i="1"/>
  <c r="E59" i="1"/>
  <c r="E71" i="1"/>
  <c r="E83" i="1"/>
  <c r="E95" i="1"/>
  <c r="E107" i="1"/>
  <c r="E119" i="1"/>
  <c r="K6" i="1"/>
  <c r="K18" i="1"/>
  <c r="K30" i="1"/>
  <c r="K42" i="1"/>
  <c r="K54" i="1"/>
  <c r="K66" i="1"/>
  <c r="K80" i="1"/>
  <c r="K93" i="1"/>
  <c r="K102" i="1"/>
  <c r="K114" i="1"/>
  <c r="K126" i="1"/>
  <c r="S13" i="1"/>
  <c r="S25" i="1"/>
  <c r="S37" i="1"/>
  <c r="S49" i="1"/>
  <c r="S61" i="1"/>
  <c r="S72" i="1"/>
  <c r="S85" i="1"/>
  <c r="S97" i="1"/>
  <c r="S109" i="1"/>
  <c r="S121" i="1"/>
  <c r="R8" i="1"/>
  <c r="R20" i="1"/>
  <c r="R32" i="1"/>
  <c r="R44" i="1"/>
  <c r="R56" i="1"/>
  <c r="R68" i="1"/>
  <c r="R77" i="1"/>
  <c r="R91" i="1"/>
  <c r="R104" i="1"/>
  <c r="R116" i="1"/>
  <c r="R128" i="1"/>
  <c r="Q15" i="1"/>
  <c r="Q27" i="1"/>
  <c r="Q39" i="1"/>
  <c r="Q51" i="1"/>
  <c r="Q63" i="1"/>
  <c r="Q74" i="1"/>
  <c r="Q89" i="1"/>
  <c r="Q99" i="1"/>
  <c r="Q111" i="1"/>
  <c r="Q123" i="1"/>
  <c r="P10" i="1"/>
  <c r="O100" i="1"/>
  <c r="O112" i="1"/>
  <c r="O124" i="1"/>
  <c r="G111" i="1"/>
  <c r="G123" i="1"/>
  <c r="G97" i="1"/>
  <c r="G15" i="1"/>
  <c r="G27" i="1"/>
  <c r="G39" i="1"/>
  <c r="G51" i="1"/>
  <c r="G63" i="1"/>
  <c r="G74" i="1"/>
  <c r="G89" i="1"/>
  <c r="O6" i="1"/>
  <c r="O18" i="1"/>
  <c r="O30" i="1"/>
  <c r="O42" i="1"/>
  <c r="O54" i="1"/>
  <c r="O66" i="1"/>
  <c r="O80" i="1"/>
  <c r="O93" i="1"/>
  <c r="E12" i="1"/>
  <c r="E24" i="1"/>
  <c r="E36" i="1"/>
  <c r="E48" i="1"/>
  <c r="E60" i="1"/>
  <c r="E75" i="1"/>
  <c r="E84" i="1"/>
  <c r="E96" i="1"/>
  <c r="E108" i="1"/>
  <c r="E120" i="1"/>
  <c r="K7" i="1"/>
  <c r="K19" i="1"/>
  <c r="K31" i="1"/>
  <c r="K43" i="1"/>
  <c r="K55" i="1"/>
  <c r="K67" i="1"/>
  <c r="K76" i="1"/>
  <c r="K90" i="1"/>
  <c r="K103" i="1"/>
  <c r="K115" i="1"/>
  <c r="K127" i="1"/>
  <c r="S14" i="1"/>
  <c r="S26" i="1"/>
  <c r="S38" i="1"/>
  <c r="S50" i="1"/>
  <c r="S62" i="1"/>
  <c r="S73" i="1"/>
  <c r="S86" i="1"/>
  <c r="S98" i="1"/>
  <c r="S110" i="1"/>
  <c r="S122" i="1"/>
  <c r="R9" i="1"/>
  <c r="R21" i="1"/>
  <c r="R33" i="1"/>
  <c r="R45" i="1"/>
  <c r="R57" i="1"/>
  <c r="R69" i="1"/>
  <c r="R81" i="1"/>
  <c r="R92" i="1"/>
  <c r="R105" i="1"/>
  <c r="R117" i="1"/>
  <c r="Q4" i="1"/>
  <c r="Q16" i="1"/>
  <c r="Q28" i="1"/>
  <c r="Q40" i="1"/>
  <c r="Q52" i="1"/>
  <c r="Q64" i="1"/>
  <c r="Q78" i="1"/>
  <c r="Q87" i="1"/>
  <c r="Q100" i="1"/>
  <c r="Q112" i="1"/>
  <c r="Q124" i="1"/>
  <c r="P11" i="1"/>
  <c r="P23" i="1"/>
  <c r="P35" i="1"/>
  <c r="P47" i="1"/>
  <c r="P59" i="1"/>
  <c r="P71" i="1"/>
  <c r="P83" i="1"/>
  <c r="P95" i="1"/>
  <c r="P107" i="1"/>
  <c r="P119" i="1"/>
  <c r="N5" i="1"/>
  <c r="G32" i="1"/>
  <c r="O83" i="1"/>
  <c r="K12" i="1"/>
  <c r="S20" i="1"/>
  <c r="S91" i="1"/>
  <c r="R39" i="1"/>
  <c r="R111" i="1"/>
  <c r="Q58" i="1"/>
  <c r="P5" i="1"/>
  <c r="P46" i="1"/>
  <c r="P82" i="1"/>
  <c r="P112" i="1"/>
  <c r="P127" i="1"/>
  <c r="N14" i="1"/>
  <c r="N26" i="1"/>
  <c r="N38" i="1"/>
  <c r="N50" i="1"/>
  <c r="N62" i="1"/>
  <c r="N73" i="1"/>
  <c r="N86" i="1"/>
  <c r="N98" i="1"/>
  <c r="N110" i="1"/>
  <c r="N122" i="1"/>
  <c r="M9" i="1"/>
  <c r="M21" i="1"/>
  <c r="M33" i="1"/>
  <c r="M45" i="1"/>
  <c r="M57" i="1"/>
  <c r="M69" i="1"/>
  <c r="M81" i="1"/>
  <c r="M92" i="1"/>
  <c r="M105" i="1"/>
  <c r="M117" i="1"/>
  <c r="L4" i="1"/>
  <c r="L16" i="1"/>
  <c r="L28" i="1"/>
  <c r="L40" i="1"/>
  <c r="L52" i="1"/>
  <c r="L64" i="1"/>
  <c r="L78" i="1"/>
  <c r="L87" i="1"/>
  <c r="L100" i="1"/>
  <c r="L112" i="1"/>
  <c r="L124" i="1"/>
  <c r="J11" i="1"/>
  <c r="J23" i="1"/>
  <c r="J35" i="1"/>
  <c r="J47" i="1"/>
  <c r="J59" i="1"/>
  <c r="J71" i="1"/>
  <c r="J83" i="1"/>
  <c r="J95" i="1"/>
  <c r="J107" i="1"/>
  <c r="J119" i="1"/>
  <c r="I6" i="1"/>
  <c r="I18" i="1"/>
  <c r="I30" i="1"/>
  <c r="I42" i="1"/>
  <c r="I54" i="1"/>
  <c r="I66" i="1"/>
  <c r="I80" i="1"/>
  <c r="I93" i="1"/>
  <c r="I102" i="1"/>
  <c r="I114" i="1"/>
  <c r="I126" i="1"/>
  <c r="H13" i="1"/>
  <c r="H25" i="1"/>
  <c r="H37" i="1"/>
  <c r="H49" i="1"/>
  <c r="H61" i="1"/>
  <c r="H72" i="1"/>
  <c r="H85" i="1"/>
  <c r="H97" i="1"/>
  <c r="H109" i="1"/>
  <c r="H121" i="1"/>
  <c r="F7" i="1"/>
  <c r="F19" i="1"/>
  <c r="F31" i="1"/>
  <c r="G44" i="1"/>
  <c r="E5" i="1"/>
  <c r="K24" i="1"/>
  <c r="S31" i="1"/>
  <c r="S103" i="1"/>
  <c r="R50" i="1"/>
  <c r="R122" i="1"/>
  <c r="Q69" i="1"/>
  <c r="P16" i="1"/>
  <c r="P52" i="1"/>
  <c r="P87" i="1"/>
  <c r="P113" i="1"/>
  <c r="P128" i="1"/>
  <c r="N15" i="1"/>
  <c r="N27" i="1"/>
  <c r="N39" i="1"/>
  <c r="N51" i="1"/>
  <c r="N63" i="1"/>
  <c r="N74" i="1"/>
  <c r="N89" i="1"/>
  <c r="N99" i="1"/>
  <c r="N111" i="1"/>
  <c r="N123" i="1"/>
  <c r="M10" i="1"/>
  <c r="M22" i="1"/>
  <c r="M34" i="1"/>
  <c r="M46" i="1"/>
  <c r="M58" i="1"/>
  <c r="M70" i="1"/>
  <c r="M82" i="1"/>
  <c r="M94" i="1"/>
  <c r="M106" i="1"/>
  <c r="M118" i="1"/>
  <c r="L5" i="1"/>
  <c r="L17" i="1"/>
  <c r="L29" i="1"/>
  <c r="L41" i="1"/>
  <c r="L53" i="1"/>
  <c r="L65" i="1"/>
  <c r="L79" i="1"/>
  <c r="L88" i="1"/>
  <c r="L101" i="1"/>
  <c r="L113" i="1"/>
  <c r="L125" i="1"/>
  <c r="J12" i="1"/>
  <c r="J24" i="1"/>
  <c r="J36" i="1"/>
  <c r="J48" i="1"/>
  <c r="J60" i="1"/>
  <c r="J75" i="1"/>
  <c r="J84" i="1"/>
  <c r="J96" i="1"/>
  <c r="J108" i="1"/>
  <c r="J120" i="1"/>
  <c r="I7" i="1"/>
  <c r="I19" i="1"/>
  <c r="I31" i="1"/>
  <c r="I43" i="1"/>
  <c r="I55" i="1"/>
  <c r="I67" i="1"/>
  <c r="I76" i="1"/>
  <c r="I90" i="1"/>
  <c r="I103" i="1"/>
  <c r="I115" i="1"/>
  <c r="I127" i="1"/>
  <c r="H14" i="1"/>
  <c r="H26" i="1"/>
  <c r="H38" i="1"/>
  <c r="H50" i="1"/>
  <c r="H62" i="1"/>
  <c r="G56" i="1"/>
  <c r="E17" i="1"/>
  <c r="K36" i="1"/>
  <c r="S32" i="1"/>
  <c r="S104" i="1"/>
  <c r="R51" i="1"/>
  <c r="R123" i="1"/>
  <c r="Q70" i="1"/>
  <c r="P17" i="1"/>
  <c r="P53" i="1"/>
  <c r="P88" i="1"/>
  <c r="P114" i="1"/>
  <c r="O4" i="1"/>
  <c r="N16" i="1"/>
  <c r="N28" i="1"/>
  <c r="N40" i="1"/>
  <c r="N52" i="1"/>
  <c r="N64" i="1"/>
  <c r="N78" i="1"/>
  <c r="N87" i="1"/>
  <c r="N100" i="1"/>
  <c r="N112" i="1"/>
  <c r="N124" i="1"/>
  <c r="M11" i="1"/>
  <c r="M23" i="1"/>
  <c r="M35" i="1"/>
  <c r="M47" i="1"/>
  <c r="M59" i="1"/>
  <c r="M71" i="1"/>
  <c r="M83" i="1"/>
  <c r="M95" i="1"/>
  <c r="M107" i="1"/>
  <c r="M119" i="1"/>
  <c r="L6" i="1"/>
  <c r="L18" i="1"/>
  <c r="L30" i="1"/>
  <c r="L42" i="1"/>
  <c r="L54" i="1"/>
  <c r="L66" i="1"/>
  <c r="L80" i="1"/>
  <c r="L93" i="1"/>
  <c r="L102" i="1"/>
  <c r="L114" i="1"/>
  <c r="L126" i="1"/>
  <c r="J13" i="1"/>
  <c r="J25" i="1"/>
  <c r="J37" i="1"/>
  <c r="J49" i="1"/>
  <c r="J61" i="1"/>
  <c r="J72" i="1"/>
  <c r="J85" i="1"/>
  <c r="J97" i="1"/>
  <c r="J109" i="1"/>
  <c r="J121" i="1"/>
  <c r="I8" i="1"/>
  <c r="I20" i="1"/>
  <c r="I32" i="1"/>
  <c r="I44" i="1"/>
  <c r="I56" i="1"/>
  <c r="I68" i="1"/>
  <c r="I77" i="1"/>
  <c r="I91" i="1"/>
  <c r="I104" i="1"/>
  <c r="I116" i="1"/>
  <c r="I128" i="1"/>
  <c r="H15" i="1"/>
  <c r="H27" i="1"/>
  <c r="H39" i="1"/>
  <c r="H51" i="1"/>
  <c r="H63" i="1"/>
  <c r="H74" i="1"/>
  <c r="H89" i="1"/>
  <c r="H99" i="1"/>
  <c r="H111" i="1"/>
  <c r="H123" i="1"/>
  <c r="F9" i="1"/>
  <c r="F21" i="1"/>
  <c r="F33" i="1"/>
  <c r="F45" i="1"/>
  <c r="F57" i="1"/>
  <c r="F69" i="1"/>
  <c r="F81" i="1"/>
  <c r="F92" i="1"/>
  <c r="F105" i="1"/>
  <c r="F117" i="1"/>
  <c r="G68" i="1"/>
  <c r="E29" i="1"/>
  <c r="K48" i="1"/>
  <c r="S43" i="1"/>
  <c r="S115" i="1"/>
  <c r="R62" i="1"/>
  <c r="Q9" i="1"/>
  <c r="Q81" i="1"/>
  <c r="P20" i="1"/>
  <c r="P56" i="1"/>
  <c r="P91" i="1"/>
  <c r="P115" i="1"/>
  <c r="N4" i="1"/>
  <c r="N17" i="1"/>
  <c r="N29" i="1"/>
  <c r="N41" i="1"/>
  <c r="N53" i="1"/>
  <c r="N65" i="1"/>
  <c r="N79" i="1"/>
  <c r="N88" i="1"/>
  <c r="N101" i="1"/>
  <c r="N113" i="1"/>
  <c r="N125" i="1"/>
  <c r="M12" i="1"/>
  <c r="M24" i="1"/>
  <c r="M36" i="1"/>
  <c r="M48" i="1"/>
  <c r="M60" i="1"/>
  <c r="M75" i="1"/>
  <c r="M84" i="1"/>
  <c r="M96" i="1"/>
  <c r="M108" i="1"/>
  <c r="M120" i="1"/>
  <c r="L7" i="1"/>
  <c r="L19" i="1"/>
  <c r="L31" i="1"/>
  <c r="L43" i="1"/>
  <c r="L55" i="1"/>
  <c r="L67" i="1"/>
  <c r="L76" i="1"/>
  <c r="L90" i="1"/>
  <c r="L103" i="1"/>
  <c r="L115" i="1"/>
  <c r="L127" i="1"/>
  <c r="J14" i="1"/>
  <c r="J26" i="1"/>
  <c r="J38" i="1"/>
  <c r="J50" i="1"/>
  <c r="J62" i="1"/>
  <c r="J73" i="1"/>
  <c r="J86" i="1"/>
  <c r="J98" i="1"/>
  <c r="J110" i="1"/>
  <c r="J122" i="1"/>
  <c r="I9" i="1"/>
  <c r="I21" i="1"/>
  <c r="I33" i="1"/>
  <c r="I45" i="1"/>
  <c r="I57" i="1"/>
  <c r="I69" i="1"/>
  <c r="I81" i="1"/>
  <c r="I92" i="1"/>
  <c r="I105" i="1"/>
  <c r="I117" i="1"/>
  <c r="H4" i="1"/>
  <c r="H16" i="1"/>
  <c r="H28" i="1"/>
  <c r="H40" i="1"/>
  <c r="H52" i="1"/>
  <c r="H64" i="1"/>
  <c r="H78" i="1"/>
  <c r="H87" i="1"/>
  <c r="H100" i="1"/>
  <c r="H112" i="1"/>
  <c r="H124" i="1"/>
  <c r="F10" i="1"/>
  <c r="F22" i="1"/>
  <c r="F34" i="1"/>
  <c r="F46" i="1"/>
  <c r="F58" i="1"/>
  <c r="F70" i="1"/>
  <c r="F82" i="1"/>
  <c r="F94" i="1"/>
  <c r="F106" i="1"/>
  <c r="G77" i="1"/>
  <c r="E41" i="1"/>
  <c r="K60" i="1"/>
  <c r="S44" i="1"/>
  <c r="S116" i="1"/>
  <c r="R63" i="1"/>
  <c r="Q10" i="1"/>
  <c r="Q82" i="1"/>
  <c r="P22" i="1"/>
  <c r="P58" i="1"/>
  <c r="P94" i="1"/>
  <c r="P116" i="1"/>
  <c r="N6" i="1"/>
  <c r="N18" i="1"/>
  <c r="N30" i="1"/>
  <c r="N42" i="1"/>
  <c r="N54" i="1"/>
  <c r="N66" i="1"/>
  <c r="N80" i="1"/>
  <c r="N93" i="1"/>
  <c r="N102" i="1"/>
  <c r="N114" i="1"/>
  <c r="N126" i="1"/>
  <c r="M13" i="1"/>
  <c r="M25" i="1"/>
  <c r="M37" i="1"/>
  <c r="M49" i="1"/>
  <c r="M61" i="1"/>
  <c r="M72" i="1"/>
  <c r="M85" i="1"/>
  <c r="M97" i="1"/>
  <c r="M109" i="1"/>
  <c r="M121" i="1"/>
  <c r="L8" i="1"/>
  <c r="L20" i="1"/>
  <c r="L32" i="1"/>
  <c r="L44" i="1"/>
  <c r="L56" i="1"/>
  <c r="L68" i="1"/>
  <c r="L77" i="1"/>
  <c r="L91" i="1"/>
  <c r="L104" i="1"/>
  <c r="L116" i="1"/>
  <c r="L128" i="1"/>
  <c r="J15" i="1"/>
  <c r="J27" i="1"/>
  <c r="J39" i="1"/>
  <c r="J51" i="1"/>
  <c r="J63" i="1"/>
  <c r="J74" i="1"/>
  <c r="J89" i="1"/>
  <c r="J99" i="1"/>
  <c r="J111" i="1"/>
  <c r="J123" i="1"/>
  <c r="I10" i="1"/>
  <c r="I22" i="1"/>
  <c r="I34" i="1"/>
  <c r="I46" i="1"/>
  <c r="I58" i="1"/>
  <c r="I70" i="1"/>
  <c r="I82" i="1"/>
  <c r="O105" i="1"/>
  <c r="G91" i="1"/>
  <c r="E53" i="1"/>
  <c r="K75" i="1"/>
  <c r="S55" i="1"/>
  <c r="S127" i="1"/>
  <c r="R73" i="1"/>
  <c r="Q21" i="1"/>
  <c r="Q92" i="1"/>
  <c r="P28" i="1"/>
  <c r="P64" i="1"/>
  <c r="P100" i="1"/>
  <c r="P118" i="1"/>
  <c r="N7" i="1"/>
  <c r="N19" i="1"/>
  <c r="N31" i="1"/>
  <c r="N43" i="1"/>
  <c r="N55" i="1"/>
  <c r="N67" i="1"/>
  <c r="N76" i="1"/>
  <c r="N90" i="1"/>
  <c r="N103" i="1"/>
  <c r="N115" i="1"/>
  <c r="N127" i="1"/>
  <c r="M14" i="1"/>
  <c r="M26" i="1"/>
  <c r="M38" i="1"/>
  <c r="M50" i="1"/>
  <c r="M62" i="1"/>
  <c r="M73" i="1"/>
  <c r="M86" i="1"/>
  <c r="M98" i="1"/>
  <c r="M110" i="1"/>
  <c r="M122" i="1"/>
  <c r="L9" i="1"/>
  <c r="L21" i="1"/>
  <c r="L33" i="1"/>
  <c r="L45" i="1"/>
  <c r="L57" i="1"/>
  <c r="L69" i="1"/>
  <c r="L81" i="1"/>
  <c r="L92" i="1"/>
  <c r="L105" i="1"/>
  <c r="L117" i="1"/>
  <c r="J4" i="1"/>
  <c r="J16" i="1"/>
  <c r="J28" i="1"/>
  <c r="J40" i="1"/>
  <c r="J52" i="1"/>
  <c r="J64" i="1"/>
  <c r="J78" i="1"/>
  <c r="J87" i="1"/>
  <c r="J100" i="1"/>
  <c r="J112" i="1"/>
  <c r="J124" i="1"/>
  <c r="I11" i="1"/>
  <c r="I23" i="1"/>
  <c r="I35" i="1"/>
  <c r="I47" i="1"/>
  <c r="I59" i="1"/>
  <c r="I71" i="1"/>
  <c r="I83" i="1"/>
  <c r="I95" i="1"/>
  <c r="I107" i="1"/>
  <c r="I119" i="1"/>
  <c r="H6" i="1"/>
  <c r="H18" i="1"/>
  <c r="H30" i="1"/>
  <c r="H42" i="1"/>
  <c r="H54" i="1"/>
  <c r="H66" i="1"/>
  <c r="H80" i="1"/>
  <c r="H93" i="1"/>
  <c r="H102" i="1"/>
  <c r="H114" i="1"/>
  <c r="H126" i="1"/>
  <c r="F12" i="1"/>
  <c r="F24" i="1"/>
  <c r="F36" i="1"/>
  <c r="F48" i="1"/>
  <c r="F60" i="1"/>
  <c r="F75" i="1"/>
  <c r="F84" i="1"/>
  <c r="O117" i="1"/>
  <c r="O11" i="1"/>
  <c r="E65" i="1"/>
  <c r="K84" i="1"/>
  <c r="S56" i="1"/>
  <c r="S128" i="1"/>
  <c r="R74" i="1"/>
  <c r="Q22" i="1"/>
  <c r="Q94" i="1"/>
  <c r="P29" i="1"/>
  <c r="P65" i="1"/>
  <c r="P101" i="1"/>
  <c r="P120" i="1"/>
  <c r="N8" i="1"/>
  <c r="N20" i="1"/>
  <c r="N32" i="1"/>
  <c r="N44" i="1"/>
  <c r="N56" i="1"/>
  <c r="N68" i="1"/>
  <c r="N77" i="1"/>
  <c r="N91" i="1"/>
  <c r="N104" i="1"/>
  <c r="N116" i="1"/>
  <c r="N128" i="1"/>
  <c r="M15" i="1"/>
  <c r="M27" i="1"/>
  <c r="M39" i="1"/>
  <c r="M51" i="1"/>
  <c r="M63" i="1"/>
  <c r="M74" i="1"/>
  <c r="M89" i="1"/>
  <c r="M99" i="1"/>
  <c r="M111" i="1"/>
  <c r="M123" i="1"/>
  <c r="L10" i="1"/>
  <c r="L22" i="1"/>
  <c r="L34" i="1"/>
  <c r="L46" i="1"/>
  <c r="L58" i="1"/>
  <c r="L70" i="1"/>
  <c r="L82" i="1"/>
  <c r="L94" i="1"/>
  <c r="L106" i="1"/>
  <c r="L118" i="1"/>
  <c r="J5" i="1"/>
  <c r="J17" i="1"/>
  <c r="J29" i="1"/>
  <c r="J41" i="1"/>
  <c r="J53" i="1"/>
  <c r="J65" i="1"/>
  <c r="J79" i="1"/>
  <c r="J88" i="1"/>
  <c r="J101" i="1"/>
  <c r="J113" i="1"/>
  <c r="J125" i="1"/>
  <c r="I12" i="1"/>
  <c r="I24" i="1"/>
  <c r="I36" i="1"/>
  <c r="I48" i="1"/>
  <c r="I60" i="1"/>
  <c r="I75" i="1"/>
  <c r="I84" i="1"/>
  <c r="I96" i="1"/>
  <c r="I108" i="1"/>
  <c r="I120" i="1"/>
  <c r="H7" i="1"/>
  <c r="H19" i="1"/>
  <c r="H31" i="1"/>
  <c r="H43" i="1"/>
  <c r="H55" i="1"/>
  <c r="H67" i="1"/>
  <c r="H76" i="1"/>
  <c r="H90" i="1"/>
  <c r="H103" i="1"/>
  <c r="H115" i="1"/>
  <c r="F13" i="1"/>
  <c r="F25" i="1"/>
  <c r="F37" i="1"/>
  <c r="F49" i="1"/>
  <c r="F61" i="1"/>
  <c r="F72" i="1"/>
  <c r="G104" i="1"/>
  <c r="O23" i="1"/>
  <c r="E79" i="1"/>
  <c r="K96" i="1"/>
  <c r="S67" i="1"/>
  <c r="R14" i="1"/>
  <c r="R86" i="1"/>
  <c r="Q33" i="1"/>
  <c r="Q105" i="1"/>
  <c r="P32" i="1"/>
  <c r="P68" i="1"/>
  <c r="P104" i="1"/>
  <c r="P121" i="1"/>
  <c r="N9" i="1"/>
  <c r="N21" i="1"/>
  <c r="N33" i="1"/>
  <c r="N45" i="1"/>
  <c r="N57" i="1"/>
  <c r="N69" i="1"/>
  <c r="N81" i="1"/>
  <c r="N92" i="1"/>
  <c r="N105" i="1"/>
  <c r="N117" i="1"/>
  <c r="M4" i="1"/>
  <c r="M16" i="1"/>
  <c r="M28" i="1"/>
  <c r="M40" i="1"/>
  <c r="M52" i="1"/>
  <c r="M64" i="1"/>
  <c r="M78" i="1"/>
  <c r="M87" i="1"/>
  <c r="M100" i="1"/>
  <c r="M112" i="1"/>
  <c r="M124" i="1"/>
  <c r="L11" i="1"/>
  <c r="L23" i="1"/>
  <c r="L35" i="1"/>
  <c r="L47" i="1"/>
  <c r="L59" i="1"/>
  <c r="L71" i="1"/>
  <c r="L83" i="1"/>
  <c r="L95" i="1"/>
  <c r="L107" i="1"/>
  <c r="L119" i="1"/>
  <c r="J6" i="1"/>
  <c r="J18" i="1"/>
  <c r="J30" i="1"/>
  <c r="J42" i="1"/>
  <c r="J54" i="1"/>
  <c r="J66" i="1"/>
  <c r="J80" i="1"/>
  <c r="J93" i="1"/>
  <c r="J102" i="1"/>
  <c r="J114" i="1"/>
  <c r="J126" i="1"/>
  <c r="I13" i="1"/>
  <c r="I25" i="1"/>
  <c r="I37" i="1"/>
  <c r="I49" i="1"/>
  <c r="I61" i="1"/>
  <c r="I72" i="1"/>
  <c r="I85" i="1"/>
  <c r="I97" i="1"/>
  <c r="I109" i="1"/>
  <c r="I121" i="1"/>
  <c r="H8" i="1"/>
  <c r="H20" i="1"/>
  <c r="H32" i="1"/>
  <c r="H44" i="1"/>
  <c r="H56" i="1"/>
  <c r="H68" i="1"/>
  <c r="H77" i="1"/>
  <c r="H91" i="1"/>
  <c r="H104" i="1"/>
  <c r="H116" i="1"/>
  <c r="H128" i="1"/>
  <c r="F14" i="1"/>
  <c r="F26" i="1"/>
  <c r="F38" i="1"/>
  <c r="F50" i="1"/>
  <c r="F62" i="1"/>
  <c r="F73" i="1"/>
  <c r="F86" i="1"/>
  <c r="F98" i="1"/>
  <c r="F110" i="1"/>
  <c r="G116" i="1"/>
  <c r="O35" i="1"/>
  <c r="E88" i="1"/>
  <c r="K108" i="1"/>
  <c r="S68" i="1"/>
  <c r="R15" i="1"/>
  <c r="R89" i="1"/>
  <c r="Q34" i="1"/>
  <c r="Q106" i="1"/>
  <c r="P34" i="1"/>
  <c r="P70" i="1"/>
  <c r="P106" i="1"/>
  <c r="P122" i="1"/>
  <c r="N10" i="1"/>
  <c r="N22" i="1"/>
  <c r="N34" i="1"/>
  <c r="N46" i="1"/>
  <c r="N58" i="1"/>
  <c r="N70" i="1"/>
  <c r="N82" i="1"/>
  <c r="N94" i="1"/>
  <c r="N106" i="1"/>
  <c r="N118" i="1"/>
  <c r="M5" i="1"/>
  <c r="M17" i="1"/>
  <c r="M29" i="1"/>
  <c r="M41" i="1"/>
  <c r="M53" i="1"/>
  <c r="M65" i="1"/>
  <c r="M79" i="1"/>
  <c r="M88" i="1"/>
  <c r="M101" i="1"/>
  <c r="M113" i="1"/>
  <c r="M125" i="1"/>
  <c r="L12" i="1"/>
  <c r="L24" i="1"/>
  <c r="L36" i="1"/>
  <c r="L48" i="1"/>
  <c r="L60" i="1"/>
  <c r="L75" i="1"/>
  <c r="L84" i="1"/>
  <c r="L96" i="1"/>
  <c r="L108" i="1"/>
  <c r="L120" i="1"/>
  <c r="J7" i="1"/>
  <c r="J19" i="1"/>
  <c r="J31" i="1"/>
  <c r="J43" i="1"/>
  <c r="J55" i="1"/>
  <c r="J67" i="1"/>
  <c r="J76" i="1"/>
  <c r="J90" i="1"/>
  <c r="J103" i="1"/>
  <c r="J115" i="1"/>
  <c r="J127" i="1"/>
  <c r="I26" i="1"/>
  <c r="I38" i="1"/>
  <c r="I50" i="1"/>
  <c r="I62" i="1"/>
  <c r="I73" i="1"/>
  <c r="I86" i="1"/>
  <c r="I98" i="1"/>
  <c r="I110" i="1"/>
  <c r="I122" i="1"/>
  <c r="H9" i="1"/>
  <c r="H21" i="1"/>
  <c r="H33" i="1"/>
  <c r="H45" i="1"/>
  <c r="H57" i="1"/>
  <c r="H69" i="1"/>
  <c r="H81" i="1"/>
  <c r="H92" i="1"/>
  <c r="H105" i="1"/>
  <c r="H117" i="1"/>
  <c r="G4" i="1"/>
  <c r="F15" i="1"/>
  <c r="F27" i="1"/>
  <c r="F39" i="1"/>
  <c r="F51" i="1"/>
  <c r="F63" i="1"/>
  <c r="F74" i="1"/>
  <c r="F89" i="1"/>
  <c r="F99" i="1"/>
  <c r="F111" i="1"/>
  <c r="G128" i="1"/>
  <c r="O47" i="1"/>
  <c r="E101" i="1"/>
  <c r="K120" i="1"/>
  <c r="S76" i="1"/>
  <c r="R26" i="1"/>
  <c r="R98" i="1"/>
  <c r="Q45" i="1"/>
  <c r="Q117" i="1"/>
  <c r="P40" i="1"/>
  <c r="P78" i="1"/>
  <c r="P108" i="1"/>
  <c r="P124" i="1"/>
  <c r="N11" i="1"/>
  <c r="N23" i="1"/>
  <c r="N35" i="1"/>
  <c r="N47" i="1"/>
  <c r="N59" i="1"/>
  <c r="N71" i="1"/>
  <c r="N83" i="1"/>
  <c r="N95" i="1"/>
  <c r="N107" i="1"/>
  <c r="N119" i="1"/>
  <c r="M6" i="1"/>
  <c r="M18" i="1"/>
  <c r="M30" i="1"/>
  <c r="M42" i="1"/>
  <c r="M54" i="1"/>
  <c r="M66" i="1"/>
  <c r="M80" i="1"/>
  <c r="M93" i="1"/>
  <c r="M102" i="1"/>
  <c r="M114" i="1"/>
  <c r="M126" i="1"/>
  <c r="L13" i="1"/>
  <c r="L25" i="1"/>
  <c r="L37" i="1"/>
  <c r="L49" i="1"/>
  <c r="L61" i="1"/>
  <c r="L72" i="1"/>
  <c r="L85" i="1"/>
  <c r="L97" i="1"/>
  <c r="L109" i="1"/>
  <c r="L121" i="1"/>
  <c r="J8" i="1"/>
  <c r="J20" i="1"/>
  <c r="J32" i="1"/>
  <c r="J44" i="1"/>
  <c r="J56" i="1"/>
  <c r="J68" i="1"/>
  <c r="J77" i="1"/>
  <c r="J91" i="1"/>
  <c r="J104" i="1"/>
  <c r="J116" i="1"/>
  <c r="J128" i="1"/>
  <c r="I15" i="1"/>
  <c r="I27" i="1"/>
  <c r="I39" i="1"/>
  <c r="I51" i="1"/>
  <c r="I63" i="1"/>
  <c r="I74" i="1"/>
  <c r="I89" i="1"/>
  <c r="I99" i="1"/>
  <c r="I111" i="1"/>
  <c r="I123" i="1"/>
  <c r="H10" i="1"/>
  <c r="H22" i="1"/>
  <c r="H34" i="1"/>
  <c r="H46" i="1"/>
  <c r="H58" i="1"/>
  <c r="H70" i="1"/>
  <c r="H82" i="1"/>
  <c r="H94" i="1"/>
  <c r="H106" i="1"/>
  <c r="H118" i="1"/>
  <c r="F4" i="1"/>
  <c r="F16" i="1"/>
  <c r="F28" i="1"/>
  <c r="F40" i="1"/>
  <c r="F52" i="1"/>
  <c r="F64" i="1"/>
  <c r="F78" i="1"/>
  <c r="F87" i="1"/>
  <c r="G8" i="1"/>
  <c r="O59" i="1"/>
  <c r="E113" i="1"/>
  <c r="S7" i="1"/>
  <c r="S77" i="1"/>
  <c r="R27" i="1"/>
  <c r="R99" i="1"/>
  <c r="Q46" i="1"/>
  <c r="Q118" i="1"/>
  <c r="P41" i="1"/>
  <c r="P79" i="1"/>
  <c r="P109" i="1"/>
  <c r="P125" i="1"/>
  <c r="N12" i="1"/>
  <c r="N24" i="1"/>
  <c r="N36" i="1"/>
  <c r="N48" i="1"/>
  <c r="N60" i="1"/>
  <c r="N75" i="1"/>
  <c r="N84" i="1"/>
  <c r="N96" i="1"/>
  <c r="N108" i="1"/>
  <c r="N120" i="1"/>
  <c r="M7" i="1"/>
  <c r="M19" i="1"/>
  <c r="M31" i="1"/>
  <c r="M43" i="1"/>
  <c r="M55" i="1"/>
  <c r="M67" i="1"/>
  <c r="M76" i="1"/>
  <c r="M90" i="1"/>
  <c r="M103" i="1"/>
  <c r="M115" i="1"/>
  <c r="M127" i="1"/>
  <c r="L14" i="1"/>
  <c r="L26" i="1"/>
  <c r="L38" i="1"/>
  <c r="L50" i="1"/>
  <c r="L62" i="1"/>
  <c r="L73" i="1"/>
  <c r="L86" i="1"/>
  <c r="L98" i="1"/>
  <c r="L110" i="1"/>
  <c r="L122" i="1"/>
  <c r="J9" i="1"/>
  <c r="J21" i="1"/>
  <c r="J33" i="1"/>
  <c r="J45" i="1"/>
  <c r="J57" i="1"/>
  <c r="J69" i="1"/>
  <c r="J81" i="1"/>
  <c r="J92" i="1"/>
  <c r="J105" i="1"/>
  <c r="J117" i="1"/>
  <c r="I4" i="1"/>
  <c r="I28" i="1"/>
  <c r="I40" i="1"/>
  <c r="I52" i="1"/>
  <c r="I64" i="1"/>
  <c r="I78" i="1"/>
  <c r="I87" i="1"/>
  <c r="I100" i="1"/>
  <c r="I112" i="1"/>
  <c r="I124" i="1"/>
  <c r="H11" i="1"/>
  <c r="H23" i="1"/>
  <c r="H35" i="1"/>
  <c r="H47" i="1"/>
  <c r="H59" i="1"/>
  <c r="H71" i="1"/>
  <c r="H83" i="1"/>
  <c r="H95" i="1"/>
  <c r="H107" i="1"/>
  <c r="H119" i="1"/>
  <c r="F5" i="1"/>
  <c r="F17" i="1"/>
  <c r="F29" i="1"/>
  <c r="F41" i="1"/>
  <c r="F53" i="1"/>
  <c r="F65" i="1"/>
  <c r="F79" i="1"/>
  <c r="F88" i="1"/>
  <c r="C117" i="1"/>
  <c r="C105" i="1"/>
  <c r="C92" i="1"/>
  <c r="C81" i="1"/>
  <c r="C69" i="1"/>
  <c r="C57" i="1"/>
  <c r="C45" i="1"/>
  <c r="C33" i="1"/>
  <c r="C21" i="1"/>
  <c r="C9" i="1"/>
  <c r="D122" i="1"/>
  <c r="D110" i="1"/>
  <c r="D98" i="1"/>
  <c r="D86" i="1"/>
  <c r="D73" i="1"/>
  <c r="D62" i="1"/>
  <c r="D50" i="1"/>
  <c r="D38" i="1"/>
  <c r="D26" i="1"/>
  <c r="D14" i="1"/>
  <c r="F128" i="1"/>
  <c r="F115" i="1"/>
  <c r="F97" i="1"/>
  <c r="F68" i="1"/>
  <c r="F32" i="1"/>
  <c r="H110" i="1"/>
  <c r="H60" i="1"/>
  <c r="I113" i="1"/>
  <c r="J118" i="1"/>
  <c r="L99" i="1"/>
  <c r="M77" i="1"/>
  <c r="N61" i="1"/>
  <c r="R38" i="1"/>
  <c r="C95" i="1"/>
  <c r="C23" i="1"/>
  <c r="D87" i="1"/>
  <c r="D16" i="1"/>
  <c r="F118" i="1"/>
  <c r="H120" i="1"/>
  <c r="I17" i="1"/>
  <c r="C128" i="1"/>
  <c r="C116" i="1"/>
  <c r="C104" i="1"/>
  <c r="C91" i="1"/>
  <c r="C77" i="1"/>
  <c r="C68" i="1"/>
  <c r="C56" i="1"/>
  <c r="C44" i="1"/>
  <c r="C32" i="1"/>
  <c r="C20" i="1"/>
  <c r="C8" i="1"/>
  <c r="D121" i="1"/>
  <c r="D109" i="1"/>
  <c r="D97" i="1"/>
  <c r="D85" i="1"/>
  <c r="D72" i="1"/>
  <c r="D61" i="1"/>
  <c r="D49" i="1"/>
  <c r="D37" i="1"/>
  <c r="D25" i="1"/>
  <c r="D13" i="1"/>
  <c r="F127" i="1"/>
  <c r="F114" i="1"/>
  <c r="F96" i="1"/>
  <c r="F67" i="1"/>
  <c r="F30" i="1"/>
  <c r="H108" i="1"/>
  <c r="H53" i="1"/>
  <c r="I106" i="1"/>
  <c r="J106" i="1"/>
  <c r="L89" i="1"/>
  <c r="M68" i="1"/>
  <c r="N49" i="1"/>
  <c r="S90" i="1"/>
  <c r="C107" i="1"/>
  <c r="C35" i="1"/>
  <c r="D100" i="1"/>
  <c r="D28" i="1"/>
  <c r="F42" i="1"/>
  <c r="M104" i="1"/>
  <c r="C127" i="1"/>
  <c r="C115" i="1"/>
  <c r="C103" i="1"/>
  <c r="C90" i="1"/>
  <c r="C76" i="1"/>
  <c r="C67" i="1"/>
  <c r="C55" i="1"/>
  <c r="C43" i="1"/>
  <c r="C31" i="1"/>
  <c r="C19" i="1"/>
  <c r="C7" i="1"/>
  <c r="D120" i="1"/>
  <c r="D108" i="1"/>
  <c r="D96" i="1"/>
  <c r="D84" i="1"/>
  <c r="D75" i="1"/>
  <c r="D60" i="1"/>
  <c r="D48" i="1"/>
  <c r="D36" i="1"/>
  <c r="D24" i="1"/>
  <c r="D12" i="1"/>
  <c r="F126" i="1"/>
  <c r="F113" i="1"/>
  <c r="F95" i="1"/>
  <c r="F66" i="1"/>
  <c r="F23" i="1"/>
  <c r="H101" i="1"/>
  <c r="H48" i="1"/>
  <c r="I101" i="1"/>
  <c r="J94" i="1"/>
  <c r="L74" i="1"/>
  <c r="M56" i="1"/>
  <c r="N37" i="1"/>
  <c r="S19" i="1"/>
  <c r="D112" i="1"/>
  <c r="L123" i="1"/>
  <c r="C126" i="1"/>
  <c r="C114" i="1"/>
  <c r="C102" i="1"/>
  <c r="C93" i="1"/>
  <c r="C80" i="1"/>
  <c r="C66" i="1"/>
  <c r="C54" i="1"/>
  <c r="C42" i="1"/>
  <c r="C30" i="1"/>
  <c r="C18" i="1"/>
  <c r="C6" i="1"/>
  <c r="D119" i="1"/>
  <c r="D107" i="1"/>
  <c r="D95" i="1"/>
  <c r="D83" i="1"/>
  <c r="D71" i="1"/>
  <c r="D59" i="1"/>
  <c r="D47" i="1"/>
  <c r="D35" i="1"/>
  <c r="D23" i="1"/>
  <c r="D11" i="1"/>
  <c r="F125" i="1"/>
  <c r="F112" i="1"/>
  <c r="F91" i="1"/>
  <c r="F59" i="1"/>
  <c r="F20" i="1"/>
  <c r="H98" i="1"/>
  <c r="H41" i="1"/>
  <c r="I94" i="1"/>
  <c r="J82" i="1"/>
  <c r="L63" i="1"/>
  <c r="M44" i="1"/>
  <c r="N25" i="1"/>
  <c r="E125" i="1"/>
  <c r="C83" i="1"/>
  <c r="C11" i="1"/>
  <c r="D52" i="1"/>
  <c r="Q57" i="1"/>
  <c r="C125" i="1"/>
  <c r="C113" i="1"/>
  <c r="C101" i="1"/>
  <c r="C88" i="1"/>
  <c r="C79" i="1"/>
  <c r="C65" i="1"/>
  <c r="C53" i="1"/>
  <c r="C41" i="1"/>
  <c r="C29" i="1"/>
  <c r="C17" i="1"/>
  <c r="C5" i="1"/>
  <c r="D118" i="1"/>
  <c r="D106" i="1"/>
  <c r="D94" i="1"/>
  <c r="D82" i="1"/>
  <c r="D70" i="1"/>
  <c r="D58" i="1"/>
  <c r="D46" i="1"/>
  <c r="D34" i="1"/>
  <c r="D22" i="1"/>
  <c r="D10" i="1"/>
  <c r="F124" i="1"/>
  <c r="F109" i="1"/>
  <c r="F90" i="1"/>
  <c r="F56" i="1"/>
  <c r="F18" i="1"/>
  <c r="H96" i="1"/>
  <c r="H36" i="1"/>
  <c r="I88" i="1"/>
  <c r="J70" i="1"/>
  <c r="L51" i="1"/>
  <c r="M32" i="1"/>
  <c r="N13" i="1"/>
  <c r="O71" i="1"/>
  <c r="C100" i="1"/>
  <c r="C78" i="1"/>
  <c r="D105" i="1"/>
  <c r="D81" i="1"/>
  <c r="D57" i="1"/>
  <c r="D33" i="1"/>
  <c r="D21" i="1"/>
  <c r="D9" i="1"/>
  <c r="F123" i="1"/>
  <c r="F108" i="1"/>
  <c r="F93" i="1"/>
  <c r="F55" i="1"/>
  <c r="F11" i="1"/>
  <c r="H88" i="1"/>
  <c r="H29" i="1"/>
  <c r="I79" i="1"/>
  <c r="J58" i="1"/>
  <c r="L39" i="1"/>
  <c r="M20" i="1"/>
  <c r="P126" i="1"/>
  <c r="G20" i="1"/>
  <c r="C112" i="1"/>
  <c r="C64" i="1"/>
  <c r="C28" i="1"/>
  <c r="D92" i="1"/>
  <c r="D69" i="1"/>
  <c r="C123" i="1"/>
  <c r="C111" i="1"/>
  <c r="C99" i="1"/>
  <c r="C89" i="1"/>
  <c r="C74" i="1"/>
  <c r="C63" i="1"/>
  <c r="C51" i="1"/>
  <c r="C39" i="1"/>
  <c r="C27" i="1"/>
  <c r="C15" i="1"/>
  <c r="D128" i="1"/>
  <c r="D116" i="1"/>
  <c r="D104" i="1"/>
  <c r="D91" i="1"/>
  <c r="D77" i="1"/>
  <c r="D68" i="1"/>
  <c r="D56" i="1"/>
  <c r="D44" i="1"/>
  <c r="D32" i="1"/>
  <c r="D20" i="1"/>
  <c r="D8" i="1"/>
  <c r="F122" i="1"/>
  <c r="F107" i="1"/>
  <c r="F85" i="1"/>
  <c r="F54" i="1"/>
  <c r="F8" i="1"/>
  <c r="H86" i="1"/>
  <c r="H24" i="1"/>
  <c r="I65" i="1"/>
  <c r="J46" i="1"/>
  <c r="L27" i="1"/>
  <c r="M8" i="1"/>
  <c r="P110" i="1"/>
  <c r="C124" i="1"/>
  <c r="C87" i="1"/>
  <c r="C52" i="1"/>
  <c r="C40" i="1"/>
  <c r="C16" i="1"/>
  <c r="D117" i="1"/>
  <c r="D45" i="1"/>
  <c r="C122" i="1"/>
  <c r="C110" i="1"/>
  <c r="C98" i="1"/>
  <c r="C86" i="1"/>
  <c r="C73" i="1"/>
  <c r="C62" i="1"/>
  <c r="C50" i="1"/>
  <c r="C38" i="1"/>
  <c r="C26" i="1"/>
  <c r="C14" i="1"/>
  <c r="D127" i="1"/>
  <c r="D115" i="1"/>
  <c r="D103" i="1"/>
  <c r="D90" i="1"/>
  <c r="D76" i="1"/>
  <c r="D67" i="1"/>
  <c r="D55" i="1"/>
  <c r="D43" i="1"/>
  <c r="D31" i="1"/>
  <c r="D19" i="1"/>
  <c r="D7" i="1"/>
  <c r="F121" i="1"/>
  <c r="F104" i="1"/>
  <c r="F83" i="1"/>
  <c r="F47" i="1"/>
  <c r="F6" i="1"/>
  <c r="H84" i="1"/>
  <c r="H17" i="1"/>
  <c r="I53" i="1"/>
  <c r="J34" i="1"/>
  <c r="L15" i="1"/>
  <c r="N121" i="1"/>
  <c r="P77" i="1"/>
  <c r="C121" i="1"/>
  <c r="C109" i="1"/>
  <c r="C97" i="1"/>
  <c r="C85" i="1"/>
  <c r="C49" i="1"/>
  <c r="C37" i="1"/>
  <c r="C25" i="1"/>
  <c r="C13" i="1"/>
  <c r="D126" i="1"/>
  <c r="D114" i="1"/>
  <c r="D102" i="1"/>
  <c r="D93" i="1"/>
  <c r="D80" i="1"/>
  <c r="D66" i="1"/>
  <c r="D54" i="1"/>
  <c r="D42" i="1"/>
  <c r="D30" i="1"/>
  <c r="D18" i="1"/>
  <c r="D6" i="1"/>
  <c r="F120" i="1"/>
  <c r="F103" i="1"/>
  <c r="F77" i="1"/>
  <c r="F44" i="1"/>
  <c r="H125" i="1"/>
  <c r="H79" i="1"/>
  <c r="H12" i="1"/>
  <c r="I41" i="1"/>
  <c r="J22" i="1"/>
  <c r="M128" i="1"/>
  <c r="N109" i="1"/>
  <c r="P44" i="1"/>
  <c r="C120" i="1"/>
  <c r="C108" i="1"/>
  <c r="C96" i="1"/>
  <c r="C84" i="1"/>
  <c r="C75" i="1"/>
  <c r="C60" i="1"/>
  <c r="C48" i="1"/>
  <c r="C36" i="1"/>
  <c r="C24" i="1"/>
  <c r="C12" i="1"/>
  <c r="D125" i="1"/>
  <c r="D113" i="1"/>
  <c r="D101" i="1"/>
  <c r="D88" i="1"/>
  <c r="D79" i="1"/>
  <c r="D65" i="1"/>
  <c r="D53" i="1"/>
  <c r="D41" i="1"/>
  <c r="D29" i="1"/>
  <c r="D17" i="1"/>
  <c r="D5" i="1"/>
  <c r="F119" i="1"/>
  <c r="F102" i="1"/>
  <c r="F76" i="1"/>
  <c r="F43" i="1"/>
  <c r="H122" i="1"/>
  <c r="H73" i="1"/>
  <c r="H5" i="1"/>
  <c r="I29" i="1"/>
  <c r="J10" i="1"/>
  <c r="M116" i="1"/>
  <c r="N97" i="1"/>
  <c r="P4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5" i="1"/>
  <c r="Z72" i="1"/>
  <c r="Z73" i="1"/>
  <c r="Z74" i="1"/>
  <c r="Z78" i="1"/>
  <c r="Z79" i="1"/>
  <c r="Z80" i="1"/>
  <c r="Z76" i="1"/>
  <c r="Z77" i="1"/>
  <c r="Z81" i="1"/>
  <c r="Z82" i="1"/>
  <c r="Z83" i="1"/>
  <c r="Z84" i="1"/>
  <c r="Z85" i="1"/>
  <c r="Z86" i="1"/>
  <c r="Z89" i="1"/>
  <c r="Z87" i="1"/>
  <c r="Z88" i="1"/>
  <c r="Z93" i="1"/>
  <c r="Z90" i="1"/>
  <c r="Z91" i="1"/>
  <c r="Z92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5" i="1"/>
  <c r="AF72" i="1"/>
  <c r="AF73" i="1"/>
  <c r="AF74" i="1"/>
  <c r="AF78" i="1"/>
  <c r="AF79" i="1"/>
  <c r="AF80" i="1"/>
  <c r="AF76" i="1"/>
  <c r="AF77" i="1"/>
  <c r="AF81" i="1"/>
  <c r="AF82" i="1"/>
  <c r="AF83" i="1"/>
  <c r="AF84" i="1"/>
  <c r="AF85" i="1"/>
  <c r="AF86" i="1"/>
  <c r="AF89" i="1"/>
  <c r="AF87" i="1"/>
  <c r="AF88" i="1"/>
  <c r="AF93" i="1"/>
  <c r="AF90" i="1"/>
  <c r="AF91" i="1"/>
  <c r="AF92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4" i="1"/>
  <c r="V2" i="8" l="1" a="1"/>
  <c r="V2" i="8" s="1"/>
  <c r="V13" i="8" a="1"/>
  <c r="V13" i="8" s="1"/>
  <c r="V34" i="8" a="1"/>
  <c r="V34" i="8" s="1"/>
  <c r="V44" i="8" a="1"/>
  <c r="V44" i="8" s="1"/>
  <c r="V54" i="8" a="1"/>
  <c r="V54" i="8" s="1"/>
  <c r="V65" i="8" a="1"/>
  <c r="V65" i="8" s="1"/>
  <c r="V75" i="8" a="1"/>
  <c r="V75" i="8" s="1"/>
  <c r="V3" i="8" a="1"/>
  <c r="V3" i="8" s="1"/>
  <c r="V14" i="8" a="1"/>
  <c r="V14" i="8" s="1"/>
  <c r="V24" i="8" a="1"/>
  <c r="V24" i="8" s="1"/>
  <c r="V35" i="8" a="1"/>
  <c r="V35" i="8" s="1"/>
  <c r="V55" i="8" a="1"/>
  <c r="V55" i="8" s="1"/>
  <c r="V86" i="8" a="1"/>
  <c r="V86" i="8" s="1"/>
  <c r="V4" i="8" a="1"/>
  <c r="V4" i="8" s="1"/>
  <c r="V15" i="8" a="1"/>
  <c r="V15" i="8" s="1"/>
  <c r="V25" i="8" a="1"/>
  <c r="V25" i="8" s="1"/>
  <c r="V46" i="8" a="1"/>
  <c r="V46" i="8" s="1"/>
  <c r="V56" i="8" a="1"/>
  <c r="V56" i="8" s="1"/>
  <c r="V66" i="8" a="1"/>
  <c r="V66" i="8" s="1"/>
  <c r="V77" i="8" a="1"/>
  <c r="V77" i="8" s="1"/>
  <c r="V87" i="8" a="1"/>
  <c r="V87" i="8" s="1"/>
  <c r="V97" i="8" a="1"/>
  <c r="V97" i="8" s="1"/>
  <c r="V89" i="8" a="1"/>
  <c r="V89" i="8" s="1"/>
  <c r="V5" i="8" a="1"/>
  <c r="V5" i="8" s="1"/>
  <c r="V16" i="8" a="1"/>
  <c r="V16" i="8" s="1"/>
  <c r="V26" i="8" a="1"/>
  <c r="V26" i="8" s="1"/>
  <c r="V36" i="8" a="1"/>
  <c r="V36" i="8" s="1"/>
  <c r="V47" i="8" a="1"/>
  <c r="V47" i="8" s="1"/>
  <c r="V57" i="8" a="1"/>
  <c r="V57" i="8" s="1"/>
  <c r="V67" i="8" a="1"/>
  <c r="V67" i="8" s="1"/>
  <c r="V88" i="8" a="1"/>
  <c r="V88" i="8" s="1"/>
  <c r="V98" i="8" a="1"/>
  <c r="V98" i="8" s="1"/>
  <c r="V17" i="8" a="1"/>
  <c r="V17" i="8" s="1"/>
  <c r="V27" i="8" a="1"/>
  <c r="V27" i="8" s="1"/>
  <c r="V37" i="8" a="1"/>
  <c r="V37" i="8" s="1"/>
  <c r="V58" i="8" a="1"/>
  <c r="V58" i="8" s="1"/>
  <c r="V68" i="8" a="1"/>
  <c r="V68" i="8" s="1"/>
  <c r="V78" i="8" a="1"/>
  <c r="V78" i="8" s="1"/>
  <c r="V99" i="8" a="1"/>
  <c r="V99" i="8" s="1"/>
  <c r="V6" i="8" a="1"/>
  <c r="V6" i="8" s="1"/>
  <c r="V7" i="8" a="1"/>
  <c r="V7" i="8" s="1"/>
  <c r="V28" i="8" a="1"/>
  <c r="V28" i="8" s="1"/>
  <c r="V38" i="8" a="1"/>
  <c r="V38" i="8" s="1"/>
  <c r="V48" i="8" a="1"/>
  <c r="V48" i="8" s="1"/>
  <c r="V59" i="8" a="1"/>
  <c r="V59" i="8" s="1"/>
  <c r="V69" i="8" a="1"/>
  <c r="V69" i="8" s="1"/>
  <c r="V79" i="8" a="1"/>
  <c r="V79" i="8" s="1"/>
  <c r="V100" i="8" a="1"/>
  <c r="V100" i="8" s="1"/>
  <c r="V18" i="8" a="1"/>
  <c r="V18" i="8" s="1"/>
  <c r="V29" i="8" a="1"/>
  <c r="V29" i="8" s="1"/>
  <c r="V39" i="8" a="1"/>
  <c r="V39" i="8" s="1"/>
  <c r="V49" i="8" a="1"/>
  <c r="V49" i="8" s="1"/>
  <c r="V70" i="8" a="1"/>
  <c r="V70" i="8" s="1"/>
  <c r="V80" i="8" a="1"/>
  <c r="V80" i="8" s="1"/>
  <c r="V90" i="8" a="1"/>
  <c r="V90" i="8" s="1"/>
  <c r="V101" i="8" a="1"/>
  <c r="V101" i="8" s="1"/>
  <c r="V8" i="8" a="1"/>
  <c r="V8" i="8" s="1"/>
  <c r="V9" i="8" a="1"/>
  <c r="V9" i="8" s="1"/>
  <c r="V19" i="8" a="1"/>
  <c r="V19" i="8" s="1"/>
  <c r="V40" i="8" a="1"/>
  <c r="V40" i="8" s="1"/>
  <c r="V50" i="8" a="1"/>
  <c r="V50" i="8" s="1"/>
  <c r="V60" i="8" a="1"/>
  <c r="V60" i="8" s="1"/>
  <c r="V71" i="8" a="1"/>
  <c r="V71" i="8" s="1"/>
  <c r="V81" i="8" a="1"/>
  <c r="V81" i="8" s="1"/>
  <c r="V91" i="8" a="1"/>
  <c r="V91" i="8" s="1"/>
  <c r="V92" i="8" a="1"/>
  <c r="V92" i="8" s="1"/>
  <c r="V63" i="8" a="1"/>
  <c r="V63" i="8" s="1"/>
  <c r="V10" i="8" a="1"/>
  <c r="V10" i="8" s="1"/>
  <c r="V20" i="8" a="1"/>
  <c r="V20" i="8" s="1"/>
  <c r="V30" i="8" a="1"/>
  <c r="V30" i="8" s="1"/>
  <c r="V41" i="8" a="1"/>
  <c r="V41" i="8" s="1"/>
  <c r="V51" i="8" a="1"/>
  <c r="V51" i="8" s="1"/>
  <c r="V61" i="8" a="1"/>
  <c r="V61" i="8" s="1"/>
  <c r="V82" i="8" a="1"/>
  <c r="V82" i="8" s="1"/>
  <c r="V42" i="8" a="1"/>
  <c r="V42" i="8" s="1"/>
  <c r="V94" i="8" a="1"/>
  <c r="V94" i="8" s="1"/>
  <c r="V11" i="8" a="1"/>
  <c r="V11" i="8" s="1"/>
  <c r="V21" i="8" a="1"/>
  <c r="V21" i="8" s="1"/>
  <c r="V31" i="8" a="1"/>
  <c r="V31" i="8" s="1"/>
  <c r="V52" i="8" a="1"/>
  <c r="V52" i="8" s="1"/>
  <c r="V62" i="8" a="1"/>
  <c r="V62" i="8" s="1"/>
  <c r="V72" i="8" a="1"/>
  <c r="V72" i="8" s="1"/>
  <c r="V83" i="8" a="1"/>
  <c r="V83" i="8" s="1"/>
  <c r="V93" i="8" a="1"/>
  <c r="V93" i="8" s="1"/>
  <c r="V22" i="8" a="1"/>
  <c r="V22" i="8" s="1"/>
  <c r="V32" i="8" a="1"/>
  <c r="V32" i="8" s="1"/>
  <c r="V53" i="8" a="1"/>
  <c r="V53" i="8" s="1"/>
  <c r="V73" i="8" a="1"/>
  <c r="V73" i="8" s="1"/>
  <c r="V12" i="8" a="1"/>
  <c r="V12" i="8" s="1"/>
  <c r="V23" i="8" a="1"/>
  <c r="V23" i="8" s="1"/>
  <c r="V33" i="8" a="1"/>
  <c r="V33" i="8" s="1"/>
  <c r="V43" i="8" a="1"/>
  <c r="V43" i="8" s="1"/>
  <c r="V64" i="8" a="1"/>
  <c r="V64" i="8" s="1"/>
  <c r="V74" i="8" a="1"/>
  <c r="V74" i="8" s="1"/>
  <c r="V84" i="8" a="1"/>
  <c r="V84" i="8" s="1"/>
  <c r="V95" i="8" a="1"/>
  <c r="V95" i="8" s="1"/>
  <c r="V85" i="8" a="1"/>
  <c r="V85" i="8" s="1"/>
  <c r="V45" i="8" a="1"/>
  <c r="V45" i="8" s="1"/>
  <c r="V76" i="8" a="1"/>
  <c r="V76" i="8" s="1"/>
  <c r="V96" i="8" a="1"/>
  <c r="V96" i="8" s="1"/>
  <c r="T2" i="8" a="1"/>
  <c r="T2" i="8" s="1"/>
  <c r="T14" i="8" a="1"/>
  <c r="T14" i="8" s="1"/>
  <c r="T26" i="8" a="1"/>
  <c r="T26" i="8" s="1"/>
  <c r="T38" i="8" a="1"/>
  <c r="T38" i="8" s="1"/>
  <c r="T50" i="8" a="1"/>
  <c r="T50" i="8" s="1"/>
  <c r="T62" i="8" a="1"/>
  <c r="T62" i="8" s="1"/>
  <c r="T74" i="8" a="1"/>
  <c r="T74" i="8" s="1"/>
  <c r="T86" i="8" a="1"/>
  <c r="T86" i="8" s="1"/>
  <c r="T98" i="8" a="1"/>
  <c r="T98" i="8" s="1"/>
  <c r="U10" i="8" a="1"/>
  <c r="U10" i="8" s="1"/>
  <c r="U22" i="8" a="1"/>
  <c r="U22" i="8" s="1"/>
  <c r="U34" i="8" a="1"/>
  <c r="U34" i="8" s="1"/>
  <c r="U46" i="8" a="1"/>
  <c r="U46" i="8" s="1"/>
  <c r="U58" i="8" a="1"/>
  <c r="U58" i="8" s="1"/>
  <c r="U70" i="8" a="1"/>
  <c r="U70" i="8" s="1"/>
  <c r="U82" i="8" a="1"/>
  <c r="U82" i="8" s="1"/>
  <c r="U94" i="8" a="1"/>
  <c r="U94" i="8" s="1"/>
  <c r="T73" i="8" a="1"/>
  <c r="T73" i="8" s="1"/>
  <c r="U69" i="8" a="1"/>
  <c r="U69" i="8" s="1"/>
  <c r="T3" i="8" a="1"/>
  <c r="T3" i="8" s="1"/>
  <c r="T15" i="8" a="1"/>
  <c r="T15" i="8" s="1"/>
  <c r="T27" i="8" a="1"/>
  <c r="T27" i="8" s="1"/>
  <c r="T39" i="8" a="1"/>
  <c r="T39" i="8" s="1"/>
  <c r="T51" i="8" a="1"/>
  <c r="T51" i="8" s="1"/>
  <c r="T63" i="8" a="1"/>
  <c r="T63" i="8" s="1"/>
  <c r="T75" i="8" a="1"/>
  <c r="T75" i="8" s="1"/>
  <c r="T87" i="8" a="1"/>
  <c r="T87" i="8" s="1"/>
  <c r="T99" i="8" a="1"/>
  <c r="T99" i="8" s="1"/>
  <c r="U11" i="8" a="1"/>
  <c r="U11" i="8" s="1"/>
  <c r="U23" i="8" a="1"/>
  <c r="U23" i="8" s="1"/>
  <c r="U35" i="8" a="1"/>
  <c r="U35" i="8" s="1"/>
  <c r="U47" i="8" a="1"/>
  <c r="U47" i="8" s="1"/>
  <c r="U59" i="8" a="1"/>
  <c r="U59" i="8" s="1"/>
  <c r="U71" i="8" a="1"/>
  <c r="U71" i="8" s="1"/>
  <c r="U83" i="8" a="1"/>
  <c r="U83" i="8" s="1"/>
  <c r="U95" i="8" a="1"/>
  <c r="U95" i="8" s="1"/>
  <c r="U93" i="8" a="1"/>
  <c r="U93" i="8" s="1"/>
  <c r="T4" i="8" a="1"/>
  <c r="T4" i="8" s="1"/>
  <c r="T16" i="8" a="1"/>
  <c r="T16" i="8" s="1"/>
  <c r="T28" i="8" a="1"/>
  <c r="T28" i="8" s="1"/>
  <c r="T40" i="8" a="1"/>
  <c r="T40" i="8" s="1"/>
  <c r="T52" i="8" a="1"/>
  <c r="T52" i="8" s="1"/>
  <c r="T64" i="8" a="1"/>
  <c r="T64" i="8" s="1"/>
  <c r="T76" i="8" a="1"/>
  <c r="T76" i="8" s="1"/>
  <c r="T88" i="8" a="1"/>
  <c r="T88" i="8" s="1"/>
  <c r="T100" i="8" a="1"/>
  <c r="T100" i="8" s="1"/>
  <c r="U12" i="8" a="1"/>
  <c r="U12" i="8" s="1"/>
  <c r="U24" i="8" a="1"/>
  <c r="U24" i="8" s="1"/>
  <c r="U36" i="8" a="1"/>
  <c r="U36" i="8" s="1"/>
  <c r="U48" i="8" a="1"/>
  <c r="U48" i="8" s="1"/>
  <c r="U60" i="8" a="1"/>
  <c r="U60" i="8" s="1"/>
  <c r="U72" i="8" a="1"/>
  <c r="U72" i="8" s="1"/>
  <c r="U84" i="8" a="1"/>
  <c r="U84" i="8" s="1"/>
  <c r="U96" i="8" a="1"/>
  <c r="U96" i="8" s="1"/>
  <c r="T97" i="8" a="1"/>
  <c r="T97" i="8" s="1"/>
  <c r="T5" i="8" a="1"/>
  <c r="T5" i="8" s="1"/>
  <c r="T17" i="8" a="1"/>
  <c r="T17" i="8" s="1"/>
  <c r="T29" i="8" a="1"/>
  <c r="T29" i="8" s="1"/>
  <c r="T41" i="8" a="1"/>
  <c r="T41" i="8" s="1"/>
  <c r="T53" i="8" a="1"/>
  <c r="T53" i="8" s="1"/>
  <c r="T65" i="8" a="1"/>
  <c r="T65" i="8" s="1"/>
  <c r="T77" i="8" a="1"/>
  <c r="T77" i="8" s="1"/>
  <c r="T89" i="8" a="1"/>
  <c r="T89" i="8" s="1"/>
  <c r="T101" i="8" a="1"/>
  <c r="T101" i="8" s="1"/>
  <c r="U13" i="8" a="1"/>
  <c r="U13" i="8" s="1"/>
  <c r="U25" i="8" a="1"/>
  <c r="U25" i="8" s="1"/>
  <c r="U37" i="8" a="1"/>
  <c r="U37" i="8" s="1"/>
  <c r="U49" i="8" a="1"/>
  <c r="U49" i="8" s="1"/>
  <c r="U61" i="8" a="1"/>
  <c r="U61" i="8" s="1"/>
  <c r="U73" i="8" a="1"/>
  <c r="U73" i="8" s="1"/>
  <c r="U85" i="8" a="1"/>
  <c r="U85" i="8" s="1"/>
  <c r="U97" i="8" a="1"/>
  <c r="U97" i="8" s="1"/>
  <c r="T6" i="8" a="1"/>
  <c r="T6" i="8" s="1"/>
  <c r="T18" i="8" a="1"/>
  <c r="T18" i="8" s="1"/>
  <c r="T30" i="8" a="1"/>
  <c r="T30" i="8" s="1"/>
  <c r="T42" i="8" a="1"/>
  <c r="T42" i="8" s="1"/>
  <c r="T54" i="8" a="1"/>
  <c r="T54" i="8" s="1"/>
  <c r="T66" i="8" a="1"/>
  <c r="T66" i="8" s="1"/>
  <c r="T78" i="8" a="1"/>
  <c r="T78" i="8" s="1"/>
  <c r="T90" i="8" a="1"/>
  <c r="T90" i="8" s="1"/>
  <c r="U2" i="8" a="1"/>
  <c r="U2" i="8" s="1"/>
  <c r="U14" i="8" a="1"/>
  <c r="U14" i="8" s="1"/>
  <c r="U26" i="8" a="1"/>
  <c r="U26" i="8" s="1"/>
  <c r="U38" i="8" a="1"/>
  <c r="U38" i="8" s="1"/>
  <c r="U50" i="8" a="1"/>
  <c r="U50" i="8" s="1"/>
  <c r="U62" i="8" a="1"/>
  <c r="U62" i="8" s="1"/>
  <c r="U74" i="8" a="1"/>
  <c r="U74" i="8" s="1"/>
  <c r="U86" i="8" a="1"/>
  <c r="U86" i="8" s="1"/>
  <c r="U98" i="8" a="1"/>
  <c r="U98" i="8" s="1"/>
  <c r="T25" i="8" a="1"/>
  <c r="T25" i="8" s="1"/>
  <c r="U81" i="8" a="1"/>
  <c r="U81" i="8" s="1"/>
  <c r="T7" i="8" a="1"/>
  <c r="T7" i="8" s="1"/>
  <c r="T19" i="8" a="1"/>
  <c r="T19" i="8" s="1"/>
  <c r="T31" i="8" a="1"/>
  <c r="T31" i="8" s="1"/>
  <c r="T43" i="8" a="1"/>
  <c r="T43" i="8" s="1"/>
  <c r="T55" i="8" a="1"/>
  <c r="T55" i="8" s="1"/>
  <c r="T67" i="8" a="1"/>
  <c r="T67" i="8" s="1"/>
  <c r="T79" i="8" a="1"/>
  <c r="T79" i="8" s="1"/>
  <c r="T91" i="8" a="1"/>
  <c r="T91" i="8" s="1"/>
  <c r="U3" i="8" a="1"/>
  <c r="U3" i="8" s="1"/>
  <c r="U15" i="8" a="1"/>
  <c r="U15" i="8" s="1"/>
  <c r="U27" i="8" a="1"/>
  <c r="U27" i="8" s="1"/>
  <c r="U39" i="8" a="1"/>
  <c r="U39" i="8" s="1"/>
  <c r="U51" i="8" a="1"/>
  <c r="U51" i="8" s="1"/>
  <c r="U63" i="8" a="1"/>
  <c r="U63" i="8" s="1"/>
  <c r="U75" i="8" a="1"/>
  <c r="U75" i="8" s="1"/>
  <c r="U87" i="8" a="1"/>
  <c r="U87" i="8" s="1"/>
  <c r="U99" i="8" a="1"/>
  <c r="U99" i="8" s="1"/>
  <c r="T13" i="8" a="1"/>
  <c r="T13" i="8" s="1"/>
  <c r="U9" i="8" a="1"/>
  <c r="U9" i="8" s="1"/>
  <c r="T8" i="8" a="1"/>
  <c r="T8" i="8" s="1"/>
  <c r="T20" i="8" a="1"/>
  <c r="T20" i="8" s="1"/>
  <c r="T32" i="8" a="1"/>
  <c r="T32" i="8" s="1"/>
  <c r="T44" i="8" a="1"/>
  <c r="T44" i="8" s="1"/>
  <c r="T56" i="8" a="1"/>
  <c r="T56" i="8" s="1"/>
  <c r="T68" i="8" a="1"/>
  <c r="T68" i="8" s="1"/>
  <c r="T80" i="8" a="1"/>
  <c r="T80" i="8" s="1"/>
  <c r="T92" i="8" a="1"/>
  <c r="T92" i="8" s="1"/>
  <c r="U4" i="8" a="1"/>
  <c r="U4" i="8" s="1"/>
  <c r="U16" i="8" a="1"/>
  <c r="U16" i="8" s="1"/>
  <c r="U28" i="8" a="1"/>
  <c r="U28" i="8" s="1"/>
  <c r="U40" i="8" a="1"/>
  <c r="U40" i="8" s="1"/>
  <c r="U52" i="8" a="1"/>
  <c r="U52" i="8" s="1"/>
  <c r="U64" i="8" a="1"/>
  <c r="U64" i="8" s="1"/>
  <c r="U76" i="8" a="1"/>
  <c r="U76" i="8" s="1"/>
  <c r="U88" i="8" a="1"/>
  <c r="U88" i="8" s="1"/>
  <c r="U100" i="8" a="1"/>
  <c r="U100" i="8" s="1"/>
  <c r="T49" i="8" a="1"/>
  <c r="T49" i="8" s="1"/>
  <c r="U57" i="8" a="1"/>
  <c r="U57" i="8" s="1"/>
  <c r="T9" i="8" a="1"/>
  <c r="T9" i="8" s="1"/>
  <c r="T21" i="8" a="1"/>
  <c r="T21" i="8" s="1"/>
  <c r="T33" i="8" a="1"/>
  <c r="T33" i="8" s="1"/>
  <c r="T45" i="8" a="1"/>
  <c r="T45" i="8" s="1"/>
  <c r="T57" i="8" a="1"/>
  <c r="T57" i="8" s="1"/>
  <c r="T69" i="8" a="1"/>
  <c r="T69" i="8" s="1"/>
  <c r="T81" i="8" a="1"/>
  <c r="T81" i="8" s="1"/>
  <c r="T93" i="8" a="1"/>
  <c r="T93" i="8" s="1"/>
  <c r="U5" i="8" a="1"/>
  <c r="U5" i="8" s="1"/>
  <c r="U17" i="8" a="1"/>
  <c r="U17" i="8" s="1"/>
  <c r="U29" i="8" a="1"/>
  <c r="U29" i="8" s="1"/>
  <c r="U41" i="8" a="1"/>
  <c r="U41" i="8" s="1"/>
  <c r="U53" i="8" a="1"/>
  <c r="U53" i="8" s="1"/>
  <c r="U65" i="8" a="1"/>
  <c r="U65" i="8" s="1"/>
  <c r="U77" i="8" a="1"/>
  <c r="U77" i="8" s="1"/>
  <c r="U89" i="8" a="1"/>
  <c r="U89" i="8" s="1"/>
  <c r="U101" i="8" a="1"/>
  <c r="U101" i="8" s="1"/>
  <c r="T85" i="8" a="1"/>
  <c r="T85" i="8" s="1"/>
  <c r="T10" i="8" a="1"/>
  <c r="T10" i="8" s="1"/>
  <c r="T22" i="8" a="1"/>
  <c r="T22" i="8" s="1"/>
  <c r="T34" i="8" a="1"/>
  <c r="T34" i="8" s="1"/>
  <c r="T46" i="8" a="1"/>
  <c r="T46" i="8" s="1"/>
  <c r="T58" i="8" a="1"/>
  <c r="T58" i="8" s="1"/>
  <c r="T70" i="8" a="1"/>
  <c r="T70" i="8" s="1"/>
  <c r="T82" i="8" a="1"/>
  <c r="T82" i="8" s="1"/>
  <c r="T94" i="8" a="1"/>
  <c r="T94" i="8" s="1"/>
  <c r="U6" i="8" a="1"/>
  <c r="U6" i="8" s="1"/>
  <c r="U18" i="8" a="1"/>
  <c r="U18" i="8" s="1"/>
  <c r="U30" i="8" a="1"/>
  <c r="U30" i="8" s="1"/>
  <c r="U42" i="8" a="1"/>
  <c r="U42" i="8" s="1"/>
  <c r="U54" i="8" a="1"/>
  <c r="U54" i="8" s="1"/>
  <c r="U66" i="8" a="1"/>
  <c r="U66" i="8" s="1"/>
  <c r="U78" i="8" a="1"/>
  <c r="U78" i="8" s="1"/>
  <c r="U90" i="8" a="1"/>
  <c r="U90" i="8" s="1"/>
  <c r="T37" i="8" a="1"/>
  <c r="T37" i="8" s="1"/>
  <c r="U45" i="8" a="1"/>
  <c r="U45" i="8" s="1"/>
  <c r="T11" i="8" a="1"/>
  <c r="T11" i="8" s="1"/>
  <c r="T23" i="8" a="1"/>
  <c r="T23" i="8" s="1"/>
  <c r="T35" i="8" a="1"/>
  <c r="T35" i="8" s="1"/>
  <c r="T47" i="8" a="1"/>
  <c r="T47" i="8" s="1"/>
  <c r="T59" i="8" a="1"/>
  <c r="T59" i="8" s="1"/>
  <c r="T71" i="8" a="1"/>
  <c r="T71" i="8" s="1"/>
  <c r="T83" i="8" a="1"/>
  <c r="T83" i="8" s="1"/>
  <c r="T95" i="8" a="1"/>
  <c r="T95" i="8" s="1"/>
  <c r="U7" i="8" a="1"/>
  <c r="U7" i="8" s="1"/>
  <c r="U19" i="8" a="1"/>
  <c r="U19" i="8" s="1"/>
  <c r="U31" i="8" a="1"/>
  <c r="U31" i="8" s="1"/>
  <c r="U43" i="8" a="1"/>
  <c r="U43" i="8" s="1"/>
  <c r="U55" i="8" a="1"/>
  <c r="U55" i="8" s="1"/>
  <c r="U67" i="8" a="1"/>
  <c r="U67" i="8" s="1"/>
  <c r="U79" i="8" a="1"/>
  <c r="U79" i="8" s="1"/>
  <c r="U91" i="8" a="1"/>
  <c r="U91" i="8" s="1"/>
  <c r="T61" i="8" a="1"/>
  <c r="T61" i="8" s="1"/>
  <c r="U33" i="8" a="1"/>
  <c r="U33" i="8" s="1"/>
  <c r="T12" i="8" a="1"/>
  <c r="T12" i="8" s="1"/>
  <c r="T24" i="8" a="1"/>
  <c r="T24" i="8" s="1"/>
  <c r="T36" i="8" a="1"/>
  <c r="T36" i="8" s="1"/>
  <c r="T48" i="8" a="1"/>
  <c r="T48" i="8" s="1"/>
  <c r="T60" i="8" a="1"/>
  <c r="T60" i="8" s="1"/>
  <c r="T72" i="8" a="1"/>
  <c r="T72" i="8" s="1"/>
  <c r="T84" i="8" a="1"/>
  <c r="T84" i="8" s="1"/>
  <c r="T96" i="8" a="1"/>
  <c r="T96" i="8" s="1"/>
  <c r="U8" i="8" a="1"/>
  <c r="U8" i="8" s="1"/>
  <c r="U20" i="8" a="1"/>
  <c r="U20" i="8" s="1"/>
  <c r="U32" i="8" a="1"/>
  <c r="U32" i="8" s="1"/>
  <c r="U44" i="8" a="1"/>
  <c r="U44" i="8" s="1"/>
  <c r="U56" i="8" a="1"/>
  <c r="U56" i="8" s="1"/>
  <c r="U68" i="8" a="1"/>
  <c r="U68" i="8" s="1"/>
  <c r="U80" i="8" a="1"/>
  <c r="U80" i="8" s="1"/>
  <c r="U92" i="8" a="1"/>
  <c r="U92" i="8" s="1"/>
  <c r="U21" i="8" a="1"/>
  <c r="U21" i="8" s="1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62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7" i="2"/>
  <c r="C46" i="2"/>
  <c r="C42" i="2"/>
  <c r="C43" i="2"/>
  <c r="C44" i="2"/>
  <c r="C45" i="2"/>
  <c r="C41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23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5" i="2"/>
  <c r="H13" i="2"/>
  <c r="H34" i="2"/>
  <c r="H29" i="2"/>
  <c r="H6" i="2"/>
  <c r="H9" i="2"/>
  <c r="H21" i="2"/>
  <c r="H23" i="2"/>
  <c r="H37" i="2"/>
  <c r="H22" i="2"/>
  <c r="H11" i="2"/>
  <c r="H31" i="2"/>
  <c r="H7" i="2"/>
  <c r="H17" i="2"/>
  <c r="H27" i="2"/>
  <c r="H28" i="2"/>
  <c r="H8" i="2"/>
  <c r="H5" i="2"/>
  <c r="H24" i="2"/>
  <c r="H33" i="2"/>
  <c r="H16" i="2"/>
  <c r="H10" i="2"/>
  <c r="H12" i="2"/>
  <c r="H32" i="2"/>
  <c r="H30" i="2"/>
  <c r="H15" i="2"/>
  <c r="H18" i="2"/>
  <c r="H19" i="2"/>
  <c r="H20" i="2"/>
  <c r="H25" i="2"/>
  <c r="H36" i="2"/>
  <c r="H26" i="2"/>
  <c r="H35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4" i="2" l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5" i="1"/>
  <c r="AK72" i="1"/>
  <c r="AK73" i="1"/>
  <c r="AK74" i="1"/>
  <c r="AK78" i="1"/>
  <c r="AK79" i="1"/>
  <c r="AK80" i="1"/>
  <c r="AK76" i="1"/>
  <c r="AK77" i="1"/>
  <c r="AK81" i="1"/>
  <c r="AK82" i="1"/>
  <c r="AK83" i="1"/>
  <c r="AK84" i="1"/>
  <c r="AK85" i="1"/>
  <c r="AK86" i="1"/>
  <c r="AK89" i="1"/>
  <c r="AK87" i="1"/>
  <c r="AK88" i="1"/>
  <c r="AK93" i="1"/>
  <c r="AK90" i="1"/>
  <c r="AK91" i="1"/>
  <c r="AK92" i="1"/>
  <c r="AK94" i="1"/>
  <c r="AK95" i="1"/>
  <c r="AK103" i="1"/>
  <c r="AK96" i="1"/>
  <c r="AK98" i="1"/>
  <c r="AK99" i="1"/>
  <c r="AK100" i="1"/>
  <c r="AK97" i="1"/>
  <c r="AK101" i="1"/>
  <c r="AK102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E77" i="4"/>
  <c r="E78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8" i="4"/>
  <c r="U37" i="4"/>
  <c r="U34" i="4"/>
  <c r="U32" i="4"/>
  <c r="U31" i="4"/>
  <c r="U30" i="4"/>
  <c r="U29" i="4"/>
  <c r="U28" i="4"/>
  <c r="U27" i="4"/>
  <c r="U26" i="4"/>
  <c r="U25" i="4"/>
  <c r="U24" i="4"/>
  <c r="U23" i="4"/>
  <c r="U22" i="4"/>
  <c r="U21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U5" i="4"/>
  <c r="K68" i="4"/>
  <c r="K69" i="4"/>
  <c r="K70" i="4"/>
  <c r="K71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E4" i="4"/>
  <c r="D72" i="4"/>
  <c r="D73" i="4"/>
  <c r="D74" i="4"/>
  <c r="D77" i="4"/>
  <c r="D78" i="4"/>
  <c r="D4" i="4"/>
  <c r="T278" i="3"/>
  <c r="N278" i="3"/>
  <c r="I278" i="3"/>
  <c r="Z277" i="3"/>
  <c r="V277" i="3"/>
  <c r="W277" i="3" s="1"/>
  <c r="B277" i="3"/>
  <c r="A277" i="3"/>
  <c r="Z276" i="3"/>
  <c r="V276" i="3"/>
  <c r="W276" i="3" s="1"/>
  <c r="B276" i="3"/>
  <c r="A276" i="3"/>
  <c r="Z275" i="3"/>
  <c r="V275" i="3"/>
  <c r="W275" i="3" s="1"/>
  <c r="B275" i="3"/>
  <c r="A275" i="3"/>
  <c r="Z274" i="3"/>
  <c r="V274" i="3"/>
  <c r="W274" i="3" s="1"/>
  <c r="B274" i="3"/>
  <c r="A274" i="3"/>
  <c r="Z273" i="3"/>
  <c r="V273" i="3"/>
  <c r="W273" i="3" s="1"/>
  <c r="B273" i="3"/>
  <c r="A273" i="3"/>
  <c r="Z272" i="3"/>
  <c r="V272" i="3"/>
  <c r="W272" i="3" s="1"/>
  <c r="B272" i="3"/>
  <c r="A272" i="3"/>
  <c r="Z271" i="3"/>
  <c r="V271" i="3"/>
  <c r="W271" i="3" s="1"/>
  <c r="B271" i="3"/>
  <c r="A271" i="3"/>
  <c r="Z270" i="3"/>
  <c r="V270" i="3"/>
  <c r="W270" i="3" s="1"/>
  <c r="B270" i="3"/>
  <c r="A270" i="3"/>
  <c r="Z269" i="3"/>
  <c r="V269" i="3"/>
  <c r="W269" i="3" s="1"/>
  <c r="B269" i="3"/>
  <c r="A269" i="3"/>
  <c r="W268" i="3"/>
  <c r="B268" i="3"/>
  <c r="A268" i="3"/>
  <c r="W267" i="3"/>
  <c r="B267" i="3"/>
  <c r="A267" i="3"/>
  <c r="W266" i="3"/>
  <c r="B266" i="3"/>
  <c r="A266" i="3"/>
  <c r="W265" i="3"/>
  <c r="B265" i="3"/>
  <c r="A265" i="3"/>
  <c r="W264" i="3"/>
  <c r="B264" i="3"/>
  <c r="A264" i="3"/>
  <c r="B263" i="3"/>
  <c r="A263" i="3"/>
  <c r="B262" i="3"/>
  <c r="A262" i="3"/>
  <c r="W261" i="3"/>
  <c r="B261" i="3"/>
  <c r="A261" i="3"/>
  <c r="W260" i="3"/>
  <c r="B260" i="3"/>
  <c r="A260" i="3"/>
  <c r="W259" i="3"/>
  <c r="B259" i="3"/>
  <c r="A259" i="3"/>
  <c r="W258" i="3"/>
  <c r="B258" i="3"/>
  <c r="A258" i="3"/>
  <c r="B257" i="3"/>
  <c r="A257" i="3"/>
  <c r="B256" i="3"/>
  <c r="A256" i="3"/>
  <c r="B255" i="3"/>
  <c r="A255" i="3"/>
  <c r="B254" i="3"/>
  <c r="A254" i="3"/>
  <c r="B253" i="3"/>
  <c r="A253" i="3"/>
  <c r="W252" i="3"/>
  <c r="B252" i="3"/>
  <c r="A252" i="3"/>
  <c r="W251" i="3"/>
  <c r="B251" i="3"/>
  <c r="A251" i="3"/>
  <c r="W250" i="3"/>
  <c r="B250" i="3"/>
  <c r="A250" i="3"/>
  <c r="W249" i="3"/>
  <c r="B249" i="3"/>
  <c r="A249" i="3"/>
  <c r="W248" i="3"/>
  <c r="B248" i="3"/>
  <c r="A248" i="3"/>
  <c r="W247" i="3"/>
  <c r="B247" i="3"/>
  <c r="A247" i="3"/>
  <c r="B246" i="3"/>
  <c r="A246" i="3"/>
  <c r="B245" i="3"/>
  <c r="A245" i="3"/>
  <c r="W244" i="3"/>
  <c r="B244" i="3"/>
  <c r="A244" i="3"/>
  <c r="W243" i="3"/>
  <c r="B243" i="3"/>
  <c r="A243" i="3"/>
  <c r="W242" i="3"/>
  <c r="B242" i="3"/>
  <c r="A242" i="3"/>
  <c r="W241" i="3"/>
  <c r="B241" i="3"/>
  <c r="A241" i="3"/>
  <c r="W240" i="3"/>
  <c r="B240" i="3"/>
  <c r="A240" i="3"/>
  <c r="W239" i="3"/>
  <c r="B239" i="3"/>
  <c r="A239" i="3"/>
  <c r="W238" i="3"/>
  <c r="B238" i="3"/>
  <c r="A238" i="3"/>
  <c r="W237" i="3"/>
  <c r="B237" i="3"/>
  <c r="A237" i="3"/>
  <c r="W236" i="3"/>
  <c r="B236" i="3"/>
  <c r="A236" i="3"/>
  <c r="W235" i="3"/>
  <c r="B235" i="3"/>
  <c r="A235" i="3"/>
  <c r="W234" i="3"/>
  <c r="B234" i="3"/>
  <c r="A234" i="3"/>
  <c r="W233" i="3"/>
  <c r="B233" i="3"/>
  <c r="A233" i="3"/>
  <c r="W232" i="3"/>
  <c r="B232" i="3"/>
  <c r="A232" i="3"/>
  <c r="W231" i="3"/>
  <c r="B231" i="3"/>
  <c r="A231" i="3"/>
  <c r="W230" i="3"/>
  <c r="B230" i="3"/>
  <c r="A230" i="3"/>
  <c r="B229" i="3"/>
  <c r="A229" i="3"/>
  <c r="B228" i="3"/>
  <c r="A228" i="3"/>
  <c r="B227" i="3"/>
  <c r="A227" i="3"/>
  <c r="B226" i="3"/>
  <c r="A226" i="3"/>
  <c r="W225" i="3"/>
  <c r="B225" i="3"/>
  <c r="A225" i="3"/>
  <c r="W224" i="3"/>
  <c r="B224" i="3"/>
  <c r="A224" i="3"/>
  <c r="W223" i="3"/>
  <c r="B223" i="3"/>
  <c r="A223" i="3"/>
  <c r="W222" i="3"/>
  <c r="B222" i="3"/>
  <c r="A222" i="3"/>
  <c r="W221" i="3"/>
  <c r="B221" i="3"/>
  <c r="A221" i="3"/>
  <c r="W220" i="3"/>
  <c r="B220" i="3"/>
  <c r="A220" i="3"/>
  <c r="W219" i="3"/>
  <c r="B219" i="3"/>
  <c r="A219" i="3"/>
  <c r="V218" i="3"/>
  <c r="W218" i="3" s="1"/>
  <c r="B218" i="3"/>
  <c r="A218" i="3"/>
  <c r="V217" i="3"/>
  <c r="W217" i="3" s="1"/>
  <c r="B217" i="3"/>
  <c r="A217" i="3"/>
  <c r="V216" i="3"/>
  <c r="W216" i="3" s="1"/>
  <c r="B216" i="3"/>
  <c r="A216" i="3"/>
  <c r="V215" i="3"/>
  <c r="W215" i="3" s="1"/>
  <c r="B215" i="3"/>
  <c r="A215" i="3"/>
  <c r="V214" i="3"/>
  <c r="W214" i="3" s="1"/>
  <c r="B214" i="3"/>
  <c r="A214" i="3"/>
  <c r="V213" i="3"/>
  <c r="W213" i="3" s="1"/>
  <c r="B213" i="3"/>
  <c r="A213" i="3"/>
  <c r="V212" i="3"/>
  <c r="W212" i="3" s="1"/>
  <c r="B212" i="3"/>
  <c r="A212" i="3"/>
  <c r="B211" i="3"/>
  <c r="A211" i="3"/>
  <c r="W210" i="3"/>
  <c r="B210" i="3"/>
  <c r="A210" i="3"/>
  <c r="W209" i="3"/>
  <c r="B209" i="3"/>
  <c r="A209" i="3"/>
  <c r="W208" i="3"/>
  <c r="B208" i="3"/>
  <c r="A208" i="3"/>
  <c r="W207" i="3"/>
  <c r="B207" i="3"/>
  <c r="A207" i="3"/>
  <c r="W206" i="3"/>
  <c r="B206" i="3"/>
  <c r="A206" i="3"/>
  <c r="W205" i="3"/>
  <c r="B205" i="3"/>
  <c r="A205" i="3"/>
  <c r="W204" i="3"/>
  <c r="B204" i="3"/>
  <c r="A204" i="3"/>
  <c r="W203" i="3"/>
  <c r="B203" i="3"/>
  <c r="A203" i="3"/>
  <c r="W202" i="3"/>
  <c r="B202" i="3"/>
  <c r="A202" i="3"/>
  <c r="W201" i="3"/>
  <c r="B201" i="3"/>
  <c r="A201" i="3"/>
  <c r="W200" i="3"/>
  <c r="B200" i="3"/>
  <c r="A200" i="3"/>
  <c r="W199" i="3"/>
  <c r="B199" i="3"/>
  <c r="A199" i="3"/>
  <c r="W198" i="3"/>
  <c r="B198" i="3"/>
  <c r="A198" i="3"/>
  <c r="W197" i="3"/>
  <c r="B197" i="3"/>
  <c r="A197" i="3"/>
  <c r="W196" i="3"/>
  <c r="B196" i="3"/>
  <c r="A196" i="3"/>
  <c r="W195" i="3"/>
  <c r="B195" i="3"/>
  <c r="A195" i="3"/>
  <c r="B194" i="3"/>
  <c r="A194" i="3"/>
  <c r="B193" i="3"/>
  <c r="A193" i="3"/>
  <c r="B192" i="3"/>
  <c r="A192" i="3"/>
  <c r="B191" i="3"/>
  <c r="A191" i="3"/>
  <c r="W190" i="3"/>
  <c r="B190" i="3"/>
  <c r="A190" i="3"/>
  <c r="W189" i="3"/>
  <c r="B189" i="3"/>
  <c r="A189" i="3"/>
  <c r="W188" i="3"/>
  <c r="B188" i="3"/>
  <c r="A188" i="3"/>
  <c r="W187" i="3"/>
  <c r="B187" i="3"/>
  <c r="A187" i="3"/>
  <c r="W186" i="3"/>
  <c r="B186" i="3"/>
  <c r="A186" i="3"/>
  <c r="W185" i="3"/>
  <c r="B185" i="3"/>
  <c r="A185" i="3"/>
  <c r="W184" i="3"/>
  <c r="B184" i="3"/>
  <c r="A184" i="3"/>
  <c r="W183" i="3"/>
  <c r="B183" i="3"/>
  <c r="A183" i="3"/>
  <c r="W182" i="3"/>
  <c r="B182" i="3"/>
  <c r="A182" i="3"/>
  <c r="W181" i="3"/>
  <c r="B181" i="3"/>
  <c r="A181" i="3"/>
  <c r="W180" i="3"/>
  <c r="B180" i="3"/>
  <c r="A180" i="3"/>
  <c r="W179" i="3"/>
  <c r="B179" i="3"/>
  <c r="A179" i="3"/>
  <c r="W178" i="3"/>
  <c r="B178" i="3"/>
  <c r="A178" i="3"/>
  <c r="W177" i="3"/>
  <c r="B177" i="3"/>
  <c r="A177" i="3"/>
  <c r="W176" i="3"/>
  <c r="B176" i="3"/>
  <c r="A176" i="3"/>
  <c r="W175" i="3"/>
  <c r="B175" i="3"/>
  <c r="A175" i="3"/>
  <c r="W174" i="3"/>
  <c r="B174" i="3"/>
  <c r="A174" i="3"/>
  <c r="W173" i="3"/>
  <c r="B173" i="3"/>
  <c r="A173" i="3"/>
  <c r="W172" i="3"/>
  <c r="B172" i="3"/>
  <c r="A172" i="3"/>
  <c r="W171" i="3"/>
  <c r="B171" i="3"/>
  <c r="A171" i="3"/>
  <c r="W170" i="3"/>
  <c r="B170" i="3"/>
  <c r="A170" i="3"/>
  <c r="W169" i="3"/>
  <c r="B169" i="3"/>
  <c r="A169" i="3"/>
  <c r="W168" i="3"/>
  <c r="B168" i="3"/>
  <c r="A168" i="3"/>
  <c r="W167" i="3"/>
  <c r="B167" i="3"/>
  <c r="A167" i="3"/>
  <c r="W166" i="3"/>
  <c r="B166" i="3"/>
  <c r="A166" i="3"/>
  <c r="W165" i="3"/>
  <c r="B165" i="3"/>
  <c r="A165" i="3"/>
  <c r="W164" i="3"/>
  <c r="B164" i="3"/>
  <c r="A164" i="3"/>
  <c r="W163" i="3"/>
  <c r="B163" i="3"/>
  <c r="A163" i="3"/>
  <c r="W162" i="3"/>
  <c r="B162" i="3"/>
  <c r="A162" i="3"/>
  <c r="W161" i="3"/>
  <c r="B161" i="3"/>
  <c r="A161" i="3"/>
  <c r="W160" i="3"/>
  <c r="B160" i="3"/>
  <c r="A160" i="3"/>
  <c r="W159" i="3"/>
  <c r="B159" i="3"/>
  <c r="A159" i="3"/>
  <c r="B158" i="3"/>
  <c r="A158" i="3"/>
  <c r="W157" i="3"/>
  <c r="B157" i="3"/>
  <c r="A157" i="3"/>
  <c r="Z156" i="3"/>
  <c r="V156" i="3"/>
  <c r="W156" i="3" s="1"/>
  <c r="B156" i="3"/>
  <c r="A156" i="3"/>
  <c r="Z155" i="3"/>
  <c r="V155" i="3"/>
  <c r="W155" i="3" s="1"/>
  <c r="B155" i="3"/>
  <c r="A155" i="3"/>
  <c r="W154" i="3"/>
  <c r="B154" i="3"/>
  <c r="A154" i="3"/>
  <c r="W153" i="3"/>
  <c r="B153" i="3"/>
  <c r="A153" i="3"/>
  <c r="W152" i="3"/>
  <c r="B152" i="3"/>
  <c r="A152" i="3"/>
  <c r="W151" i="3"/>
  <c r="B151" i="3"/>
  <c r="A151" i="3"/>
  <c r="W150" i="3"/>
  <c r="B150" i="3"/>
  <c r="A150" i="3"/>
  <c r="W149" i="3"/>
  <c r="B149" i="3"/>
  <c r="A149" i="3"/>
  <c r="W148" i="3"/>
  <c r="B148" i="3"/>
  <c r="A148" i="3"/>
  <c r="W147" i="3"/>
  <c r="B147" i="3"/>
  <c r="A147" i="3"/>
  <c r="W146" i="3"/>
  <c r="B146" i="3"/>
  <c r="A146" i="3"/>
  <c r="W145" i="3"/>
  <c r="B145" i="3"/>
  <c r="A145" i="3"/>
  <c r="B144" i="3"/>
  <c r="A144" i="3"/>
  <c r="W143" i="3"/>
  <c r="B143" i="3"/>
  <c r="A143" i="3"/>
  <c r="W142" i="3"/>
  <c r="B142" i="3"/>
  <c r="A142" i="3"/>
  <c r="W141" i="3"/>
  <c r="B141" i="3"/>
  <c r="A141" i="3"/>
  <c r="W140" i="3"/>
  <c r="B140" i="3"/>
  <c r="A140" i="3"/>
  <c r="B139" i="3"/>
  <c r="A139" i="3"/>
  <c r="W138" i="3"/>
  <c r="B138" i="3"/>
  <c r="A138" i="3"/>
  <c r="B137" i="3"/>
  <c r="A137" i="3"/>
  <c r="W136" i="3"/>
  <c r="B136" i="3"/>
  <c r="A136" i="3"/>
  <c r="W135" i="3"/>
  <c r="B135" i="3"/>
  <c r="A135" i="3"/>
  <c r="W134" i="3"/>
  <c r="B134" i="3"/>
  <c r="A134" i="3"/>
  <c r="B133" i="3"/>
  <c r="A133" i="3"/>
  <c r="B132" i="3"/>
  <c r="A132" i="3"/>
  <c r="W131" i="3"/>
  <c r="B131" i="3"/>
  <c r="A131" i="3"/>
  <c r="W130" i="3"/>
  <c r="B130" i="3"/>
  <c r="A130" i="3"/>
  <c r="W129" i="3"/>
  <c r="B129" i="3"/>
  <c r="A129" i="3"/>
  <c r="W128" i="3"/>
  <c r="B128" i="3"/>
  <c r="A128" i="3"/>
  <c r="W127" i="3"/>
  <c r="B127" i="3"/>
  <c r="A127" i="3"/>
  <c r="W126" i="3"/>
  <c r="B126" i="3"/>
  <c r="A126" i="3"/>
  <c r="W125" i="3"/>
  <c r="B125" i="3"/>
  <c r="A125" i="3"/>
  <c r="B124" i="3"/>
  <c r="A124" i="3"/>
  <c r="B123" i="3"/>
  <c r="A123" i="3"/>
  <c r="W122" i="3"/>
  <c r="B122" i="3"/>
  <c r="A122" i="3"/>
  <c r="W121" i="3"/>
  <c r="B121" i="3"/>
  <c r="A121" i="3"/>
  <c r="W120" i="3"/>
  <c r="B120" i="3"/>
  <c r="A120" i="3"/>
  <c r="W119" i="3"/>
  <c r="B119" i="3"/>
  <c r="A119" i="3"/>
  <c r="W118" i="3"/>
  <c r="B118" i="3"/>
  <c r="A118" i="3"/>
  <c r="W117" i="3"/>
  <c r="B117" i="3"/>
  <c r="A117" i="3"/>
  <c r="W116" i="3"/>
  <c r="B116" i="3"/>
  <c r="A116" i="3"/>
  <c r="W115" i="3"/>
  <c r="B115" i="3"/>
  <c r="A115" i="3"/>
  <c r="W114" i="3"/>
  <c r="B114" i="3"/>
  <c r="A114" i="3"/>
  <c r="W113" i="3"/>
  <c r="B113" i="3"/>
  <c r="A113" i="3"/>
  <c r="W112" i="3"/>
  <c r="B112" i="3"/>
  <c r="A112" i="3"/>
  <c r="W111" i="3"/>
  <c r="B111" i="3"/>
  <c r="A111" i="3"/>
  <c r="W110" i="3"/>
  <c r="B110" i="3"/>
  <c r="A110" i="3"/>
  <c r="W109" i="3"/>
  <c r="B109" i="3"/>
  <c r="A109" i="3"/>
  <c r="W108" i="3"/>
  <c r="B108" i="3"/>
  <c r="A108" i="3"/>
  <c r="W107" i="3"/>
  <c r="B107" i="3"/>
  <c r="A107" i="3"/>
  <c r="W106" i="3"/>
  <c r="B106" i="3"/>
  <c r="A106" i="3"/>
  <c r="W105" i="3"/>
  <c r="B105" i="3"/>
  <c r="A105" i="3"/>
  <c r="W104" i="3"/>
  <c r="B104" i="3"/>
  <c r="A104" i="3"/>
  <c r="W103" i="3"/>
  <c r="B103" i="3"/>
  <c r="A103" i="3"/>
  <c r="W102" i="3"/>
  <c r="B102" i="3"/>
  <c r="A102" i="3"/>
  <c r="W101" i="3"/>
  <c r="B101" i="3"/>
  <c r="A101" i="3"/>
  <c r="W100" i="3"/>
  <c r="B100" i="3"/>
  <c r="A100" i="3"/>
  <c r="W99" i="3"/>
  <c r="B99" i="3"/>
  <c r="A99" i="3"/>
  <c r="W98" i="3"/>
  <c r="B98" i="3"/>
  <c r="A98" i="3"/>
  <c r="W97" i="3"/>
  <c r="B97" i="3"/>
  <c r="A97" i="3"/>
  <c r="Z96" i="3"/>
  <c r="V96" i="3"/>
  <c r="B96" i="3"/>
  <c r="A96" i="3"/>
  <c r="W95" i="3"/>
  <c r="B95" i="3"/>
  <c r="A95" i="3"/>
  <c r="W94" i="3"/>
  <c r="B94" i="3"/>
  <c r="A94" i="3"/>
  <c r="W93" i="3"/>
  <c r="B93" i="3"/>
  <c r="A93" i="3"/>
  <c r="W92" i="3"/>
  <c r="B92" i="3"/>
  <c r="A92" i="3"/>
  <c r="W91" i="3"/>
  <c r="B91" i="3"/>
  <c r="A91" i="3"/>
  <c r="W90" i="3"/>
  <c r="B90" i="3"/>
  <c r="A90" i="3"/>
  <c r="W89" i="3"/>
  <c r="B89" i="3"/>
  <c r="A89" i="3"/>
  <c r="W88" i="3"/>
  <c r="B88" i="3"/>
  <c r="A88" i="3"/>
  <c r="B87" i="3"/>
  <c r="A87" i="3"/>
  <c r="B86" i="3"/>
  <c r="A86" i="3"/>
  <c r="W85" i="3"/>
  <c r="B85" i="3"/>
  <c r="A85" i="3"/>
  <c r="W84" i="3"/>
  <c r="B84" i="3"/>
  <c r="A84" i="3"/>
  <c r="W83" i="3"/>
  <c r="B83" i="3"/>
  <c r="A83" i="3"/>
  <c r="W82" i="3"/>
  <c r="B82" i="3"/>
  <c r="A82" i="3"/>
  <c r="W81" i="3"/>
  <c r="B81" i="3"/>
  <c r="A81" i="3"/>
  <c r="W80" i="3"/>
  <c r="B80" i="3"/>
  <c r="A80" i="3"/>
  <c r="W79" i="3"/>
  <c r="B79" i="3"/>
  <c r="A79" i="3"/>
  <c r="W78" i="3"/>
  <c r="B78" i="3"/>
  <c r="A78" i="3"/>
  <c r="W77" i="3"/>
  <c r="B77" i="3"/>
  <c r="A77" i="3"/>
  <c r="W76" i="3"/>
  <c r="B76" i="3"/>
  <c r="A76" i="3"/>
  <c r="W75" i="3"/>
  <c r="B75" i="3"/>
  <c r="A75" i="3"/>
  <c r="W74" i="3"/>
  <c r="B74" i="3"/>
  <c r="A74" i="3"/>
  <c r="W73" i="3"/>
  <c r="B73" i="3"/>
  <c r="A73" i="3"/>
  <c r="W72" i="3"/>
  <c r="B72" i="3"/>
  <c r="A72" i="3"/>
  <c r="W71" i="3"/>
  <c r="B71" i="3"/>
  <c r="A71" i="3"/>
  <c r="W70" i="3"/>
  <c r="B70" i="3"/>
  <c r="A70" i="3"/>
  <c r="W69" i="3"/>
  <c r="B69" i="3"/>
  <c r="A69" i="3"/>
  <c r="W68" i="3"/>
  <c r="B68" i="3"/>
  <c r="A68" i="3"/>
  <c r="W67" i="3"/>
  <c r="B67" i="3"/>
  <c r="A67" i="3"/>
  <c r="W66" i="3"/>
  <c r="B66" i="3"/>
  <c r="A66" i="3"/>
  <c r="W65" i="3"/>
  <c r="B65" i="3"/>
  <c r="A65" i="3"/>
  <c r="W64" i="3"/>
  <c r="B64" i="3"/>
  <c r="A64" i="3"/>
  <c r="W63" i="3"/>
  <c r="B63" i="3"/>
  <c r="A63" i="3"/>
  <c r="W62" i="3"/>
  <c r="B62" i="3"/>
  <c r="A62" i="3"/>
  <c r="W61" i="3"/>
  <c r="B61" i="3"/>
  <c r="A61" i="3"/>
  <c r="W60" i="3"/>
  <c r="B60" i="3"/>
  <c r="A60" i="3"/>
  <c r="W59" i="3"/>
  <c r="B59" i="3"/>
  <c r="A59" i="3"/>
  <c r="W58" i="3"/>
  <c r="B58" i="3"/>
  <c r="A58" i="3"/>
  <c r="W57" i="3"/>
  <c r="B57" i="3"/>
  <c r="A57" i="3"/>
  <c r="W56" i="3"/>
  <c r="B56" i="3"/>
  <c r="A56" i="3"/>
  <c r="W55" i="3"/>
  <c r="B55" i="3"/>
  <c r="A55" i="3"/>
  <c r="W54" i="3"/>
  <c r="B54" i="3"/>
  <c r="A54" i="3"/>
  <c r="W53" i="3"/>
  <c r="B53" i="3"/>
  <c r="A53" i="3"/>
  <c r="W52" i="3"/>
  <c r="B52" i="3"/>
  <c r="A52" i="3"/>
  <c r="W51" i="3"/>
  <c r="B51" i="3"/>
  <c r="A51" i="3"/>
  <c r="W50" i="3"/>
  <c r="B50" i="3"/>
  <c r="A50" i="3"/>
  <c r="W49" i="3"/>
  <c r="B49" i="3"/>
  <c r="A49" i="3"/>
  <c r="W48" i="3"/>
  <c r="B48" i="3"/>
  <c r="A48" i="3"/>
  <c r="W47" i="3"/>
  <c r="B47" i="3"/>
  <c r="A47" i="3"/>
  <c r="W46" i="3"/>
  <c r="B46" i="3"/>
  <c r="A46" i="3"/>
  <c r="W45" i="3"/>
  <c r="B45" i="3"/>
  <c r="A45" i="3"/>
  <c r="W44" i="3"/>
  <c r="B44" i="3"/>
  <c r="A44" i="3"/>
  <c r="W43" i="3"/>
  <c r="B43" i="3"/>
  <c r="A43" i="3"/>
  <c r="W42" i="3"/>
  <c r="B42" i="3"/>
  <c r="A42" i="3"/>
  <c r="W41" i="3"/>
  <c r="B41" i="3"/>
  <c r="A41" i="3"/>
  <c r="W40" i="3"/>
  <c r="B40" i="3"/>
  <c r="A40" i="3"/>
  <c r="W39" i="3"/>
  <c r="B39" i="3"/>
  <c r="A39" i="3"/>
  <c r="W38" i="3"/>
  <c r="B38" i="3"/>
  <c r="A38" i="3"/>
  <c r="W37" i="3"/>
  <c r="B37" i="3"/>
  <c r="A37" i="3"/>
  <c r="W36" i="3"/>
  <c r="B36" i="3"/>
  <c r="A36" i="3"/>
  <c r="W35" i="3"/>
  <c r="B35" i="3"/>
  <c r="A35" i="3"/>
  <c r="W34" i="3"/>
  <c r="B34" i="3"/>
  <c r="A34" i="3"/>
  <c r="W33" i="3"/>
  <c r="B33" i="3"/>
  <c r="A33" i="3"/>
  <c r="W32" i="3"/>
  <c r="B32" i="3"/>
  <c r="A32" i="3"/>
  <c r="W31" i="3"/>
  <c r="B31" i="3"/>
  <c r="A31" i="3"/>
  <c r="B30" i="3"/>
  <c r="A30" i="3"/>
  <c r="W29" i="3"/>
  <c r="B29" i="3"/>
  <c r="A29" i="3"/>
  <c r="W28" i="3"/>
  <c r="B28" i="3"/>
  <c r="A28" i="3"/>
  <c r="W27" i="3"/>
  <c r="B27" i="3"/>
  <c r="A27" i="3"/>
  <c r="W26" i="3"/>
  <c r="B26" i="3"/>
  <c r="A26" i="3"/>
  <c r="W25" i="3"/>
  <c r="B25" i="3"/>
  <c r="A25" i="3"/>
  <c r="W24" i="3"/>
  <c r="B24" i="3"/>
  <c r="A24" i="3"/>
  <c r="W23" i="3"/>
  <c r="B23" i="3"/>
  <c r="A23" i="3"/>
  <c r="W22" i="3"/>
  <c r="B22" i="3"/>
  <c r="A22" i="3"/>
  <c r="W21" i="3"/>
  <c r="B21" i="3"/>
  <c r="A21" i="3"/>
  <c r="W20" i="3"/>
  <c r="B20" i="3"/>
  <c r="A20" i="3"/>
  <c r="W19" i="3"/>
  <c r="B19" i="3"/>
  <c r="A19" i="3"/>
  <c r="W18" i="3"/>
  <c r="B18" i="3"/>
  <c r="A18" i="3"/>
  <c r="B17" i="3"/>
  <c r="A17" i="3"/>
  <c r="W16" i="3"/>
  <c r="B16" i="3"/>
  <c r="A16" i="3"/>
  <c r="W15" i="3"/>
  <c r="B15" i="3"/>
  <c r="A15" i="3"/>
  <c r="W14" i="3"/>
  <c r="B14" i="3"/>
  <c r="A14" i="3"/>
  <c r="W13" i="3"/>
  <c r="B13" i="3"/>
  <c r="A13" i="3"/>
  <c r="W12" i="3"/>
  <c r="B12" i="3"/>
  <c r="A12" i="3"/>
  <c r="W11" i="3"/>
  <c r="B11" i="3"/>
  <c r="A11" i="3"/>
  <c r="W10" i="3"/>
  <c r="B10" i="3"/>
  <c r="A10" i="3"/>
  <c r="W9" i="3"/>
  <c r="B9" i="3"/>
  <c r="A9" i="3"/>
  <c r="W8" i="3"/>
  <c r="B8" i="3"/>
  <c r="A8" i="3"/>
  <c r="W7" i="3"/>
  <c r="B7" i="3"/>
  <c r="A7" i="3"/>
  <c r="W6" i="3"/>
  <c r="B6" i="3"/>
  <c r="A6" i="3"/>
  <c r="W5" i="3"/>
  <c r="B5" i="3"/>
  <c r="A5" i="3"/>
  <c r="W4" i="3"/>
  <c r="B4" i="3"/>
  <c r="A4" i="3"/>
  <c r="W3" i="3"/>
  <c r="B3" i="3"/>
  <c r="A3" i="3"/>
  <c r="W2" i="3"/>
  <c r="B2" i="3"/>
  <c r="A2" i="3"/>
  <c r="V278" i="3" l="1"/>
  <c r="W96" i="3"/>
  <c r="W278" i="3" s="1"/>
  <c r="E72" i="4" l="1"/>
  <c r="E73" i="4"/>
  <c r="E74" i="4"/>
  <c r="D75" i="4" l="1"/>
  <c r="D79" i="4"/>
  <c r="D76" i="4"/>
  <c r="K5" i="4"/>
  <c r="K6" i="4"/>
  <c r="K18" i="4"/>
  <c r="K15" i="4"/>
  <c r="K16" i="4"/>
  <c r="K30" i="4"/>
  <c r="K17" i="4"/>
  <c r="E76" i="4"/>
  <c r="E75" i="4"/>
  <c r="K25" i="4"/>
  <c r="K12" i="4"/>
  <c r="K22" i="4"/>
  <c r="E79" i="4"/>
  <c r="K28" i="4"/>
  <c r="K27" i="4"/>
  <c r="K14" i="4"/>
  <c r="K11" i="4"/>
  <c r="K21" i="4"/>
  <c r="K29" i="4"/>
  <c r="K26" i="4"/>
  <c r="K24" i="4"/>
  <c r="K23" i="4"/>
  <c r="K10" i="4"/>
  <c r="K8" i="4"/>
  <c r="K13" i="4"/>
  <c r="K9" i="4"/>
  <c r="K32" i="4"/>
  <c r="K20" i="4"/>
  <c r="K31" i="4"/>
  <c r="K19" i="4"/>
  <c r="K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Sergio Andrés Ortiz Orrego</author>
    <author>tc={3AE414DF-F342-4089-9E65-BBD371FD814F}</author>
    <author>tc={A6B194E7-1F2F-4360-98DF-1721B8C558F1}</author>
  </authors>
  <commentList>
    <comment ref="R160" authorId="0" shapeId="0" xr:uid="{306159A4-4E2A-45C4-96A7-3C3676E38962}">
      <text>
        <r>
          <rPr>
            <b/>
            <sz val="9"/>
            <color indexed="81"/>
            <rFont val="Tahoma"/>
            <family val="2"/>
          </rPr>
          <t>Sergio Andrés Ortiz Orrego:</t>
        </r>
        <r>
          <rPr>
            <sz val="9"/>
            <color indexed="81"/>
            <rFont val="Tahoma"/>
            <family val="2"/>
          </rPr>
          <t xml:space="preserve">
Revisar este decreto de adjudicación. Hoy en AP detectamos  inconsistencia.</t>
        </r>
      </text>
    </comment>
    <comment ref="S160" authorId="1" shapeId="0" xr:uid="{3AE414DF-F342-4089-9E65-BBD371FD814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@Grace Karen León Anabalón @Carlos Alberto Campos Sánchez Colegas, favor revisar estas fechas. Hoy en Agenda Publica detectamos inconsistencia para estos datos.
Respuesta:
    Corregido ;)</t>
      </text>
    </comment>
    <comment ref="R180" authorId="2" shapeId="0" xr:uid="{A6B194E7-1F2F-4360-98DF-1721B8C558F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@Carolina Silva Ortiz de Zarate Favor revisemos las fechas pendientes. Ahora estoy en agenda pública y bsalieron consultas sobre estas fechas.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<sst xmlns="http://schemas.openxmlformats.org/spreadsheetml/2006/main" count="12762" uniqueCount="1564">
  <si>
    <t>Año</t>
  </si>
  <si>
    <t>Decreto</t>
  </si>
  <si>
    <t>Segmento</t>
  </si>
  <si>
    <t>Tipo de Obra</t>
  </si>
  <si>
    <t>Tipo de Obras</t>
  </si>
  <si>
    <t>Propietario</t>
  </si>
  <si>
    <t>ID</t>
  </si>
  <si>
    <t>Tabla</t>
  </si>
  <si>
    <t>Fecha EO</t>
  </si>
  <si>
    <t>AVI REF</t>
  </si>
  <si>
    <t>COMA REF</t>
  </si>
  <si>
    <t>NOMBRE OBRA</t>
  </si>
  <si>
    <t>VATT REF [AVI + COMA]</t>
  </si>
  <si>
    <t>Proceso [AÑO + DECRETO]</t>
  </si>
  <si>
    <t>Sistema</t>
  </si>
  <si>
    <t>A</t>
  </si>
  <si>
    <t xml:space="preserve">Doble Barra Tap Algarrobo </t>
  </si>
  <si>
    <t>OA</t>
  </si>
  <si>
    <t>S/E</t>
  </si>
  <si>
    <t>Columna1</t>
  </si>
  <si>
    <t>Plazo Constructivo</t>
  </si>
  <si>
    <t xml:space="preserve">Ampliación en S/E Capricornio </t>
  </si>
  <si>
    <t>Ampliación en S/E Parinacota</t>
  </si>
  <si>
    <t>Ampliación en S/E Cóndores</t>
  </si>
  <si>
    <t>Ampliación en S/E Calama</t>
  </si>
  <si>
    <t>Ampliación en S/E Quiani</t>
  </si>
  <si>
    <t>Engie Energía S.A.</t>
  </si>
  <si>
    <t>CGE S.A.</t>
  </si>
  <si>
    <t>B</t>
  </si>
  <si>
    <t>Ampliación en S/E Copayapu</t>
  </si>
  <si>
    <t>Ampliación en S/E San Joaquín</t>
  </si>
  <si>
    <t>Ampliación en S/E Combarbalá</t>
  </si>
  <si>
    <t>Aumento de capacidad de línea 1x110kV Maitencillo - Algarrobo</t>
  </si>
  <si>
    <t>LT</t>
  </si>
  <si>
    <t>Transelec S.A.</t>
  </si>
  <si>
    <t>Ampliación en S/E Catemu</t>
  </si>
  <si>
    <t>Ampliación en S/E Bosquemar</t>
  </si>
  <si>
    <t xml:space="preserve">Ampliación en S/E Placilla </t>
  </si>
  <si>
    <t>Ampliación en S/E Agua Santa</t>
  </si>
  <si>
    <t>Ampliación en S/E San Felipe</t>
  </si>
  <si>
    <t>C</t>
  </si>
  <si>
    <t>Ampliación en S/E Río Blanco</t>
  </si>
  <si>
    <t>Ampliación en S/E San Antonio</t>
  </si>
  <si>
    <t>AUX Nombre</t>
  </si>
  <si>
    <t>Ampliación en S/E</t>
  </si>
  <si>
    <t>D</t>
  </si>
  <si>
    <t>Altamirano</t>
  </si>
  <si>
    <t>Macul</t>
  </si>
  <si>
    <t>Pudahuel</t>
  </si>
  <si>
    <t>Dehesa</t>
  </si>
  <si>
    <t>Cerro Navia</t>
  </si>
  <si>
    <t>Pirque</t>
  </si>
  <si>
    <t>MODIFICACIÓN DE PAÑOS DE CONEXIÓN DE LÍNEA 2x110 KV LAS VEGAS –
CERRO NAVIA EN NUEVO PATIO “GIS” 110 KV S/E CERRO NAVIA 110 KV.</t>
  </si>
  <si>
    <t>MODIFICACIÓN DE CONEXIÓN DE PAÑOS DE TRANSFORMACIÓN “TR5” Y UN
NUEVO BANCO EN NUEVO PATIO “GIS” 110 KV S/E CERRO NAVIA 110 KV.</t>
  </si>
  <si>
    <t>Seccionamiento en S/E</t>
  </si>
  <si>
    <t>Enel Distribución S.A.</t>
  </si>
  <si>
    <t>AES Gener S.A.</t>
  </si>
  <si>
    <t>CMPC Papeles Cordillera</t>
  </si>
  <si>
    <t>Chilquinta Energía S.A.</t>
  </si>
  <si>
    <t>E</t>
  </si>
  <si>
    <t>Alto Melipilla</t>
  </si>
  <si>
    <t>La Esperanza</t>
  </si>
  <si>
    <t>Alcones</t>
  </si>
  <si>
    <t>Aumento de capacidad de transmisión en línea</t>
  </si>
  <si>
    <t>1x66KV El Maitén - El Paico - El Monte</t>
  </si>
  <si>
    <t>Nancahua</t>
  </si>
  <si>
    <t>Paniahue</t>
  </si>
  <si>
    <t>Alameda</t>
  </si>
  <si>
    <t>Graneros</t>
  </si>
  <si>
    <t>Constitución</t>
  </si>
  <si>
    <t>Cauquenes</t>
  </si>
  <si>
    <t>San Carlos</t>
  </si>
  <si>
    <t>La Palma</t>
  </si>
  <si>
    <t>Maule</t>
  </si>
  <si>
    <t>San Javier</t>
  </si>
  <si>
    <t>S/E San Pedro</t>
  </si>
  <si>
    <t>Mahns</t>
  </si>
  <si>
    <t>Curacautín</t>
  </si>
  <si>
    <t>Avellano</t>
  </si>
  <si>
    <t>Collipulli</t>
  </si>
  <si>
    <t>Lautaro</t>
  </si>
  <si>
    <t>Punta de cortés</t>
  </si>
  <si>
    <t>Seccionamiento en Línea 2x154 kV Alto Jahuel - Tinguiririca en S/E Punta de Cortés</t>
  </si>
  <si>
    <t>Tomé</t>
  </si>
  <si>
    <t>Itahue</t>
  </si>
  <si>
    <t>Chiguayante</t>
  </si>
  <si>
    <t>Parral</t>
  </si>
  <si>
    <t>Tap Linares Norte</t>
  </si>
  <si>
    <t>Longaví</t>
  </si>
  <si>
    <t>Aumento de capacidad de transformación en S/E</t>
  </si>
  <si>
    <t>Linares Norte</t>
  </si>
  <si>
    <t>San Gregorio</t>
  </si>
  <si>
    <t>Panimávida</t>
  </si>
  <si>
    <t>Cambio circuitos 1x154 kV Charrua - Tap Chillan y 1x154 kV Charrúa - Monterrico</t>
  </si>
  <si>
    <t>Monterrico</t>
  </si>
  <si>
    <t>Ejercito</t>
  </si>
  <si>
    <t>Pitrufquén</t>
  </si>
  <si>
    <t>Padre las Casas</t>
  </si>
  <si>
    <t>San Vicente de Tagua Tagua</t>
  </si>
  <si>
    <t>2x66 kV Maule - Talca</t>
  </si>
  <si>
    <t>F</t>
  </si>
  <si>
    <t>Nueva Valdivia</t>
  </si>
  <si>
    <t>Luz Linares</t>
  </si>
  <si>
    <t>Luz Parral</t>
  </si>
  <si>
    <t>G01</t>
  </si>
  <si>
    <t>G02</t>
  </si>
  <si>
    <t>G03</t>
  </si>
  <si>
    <t>G04</t>
  </si>
  <si>
    <t>G06</t>
  </si>
  <si>
    <t>G05</t>
  </si>
  <si>
    <t>G07</t>
  </si>
  <si>
    <t>G08</t>
  </si>
  <si>
    <t>G09</t>
  </si>
  <si>
    <t>G10</t>
  </si>
  <si>
    <t>G11</t>
  </si>
  <si>
    <t>G12</t>
  </si>
  <si>
    <t>SG01</t>
  </si>
  <si>
    <t>G13</t>
  </si>
  <si>
    <t>G14</t>
  </si>
  <si>
    <t>SG02</t>
  </si>
  <si>
    <t>SG03</t>
  </si>
  <si>
    <t>G15</t>
  </si>
  <si>
    <t>Aumento de capacidad en</t>
  </si>
  <si>
    <t>G16</t>
  </si>
  <si>
    <t>SG04</t>
  </si>
  <si>
    <t>G17</t>
  </si>
  <si>
    <t>G18</t>
  </si>
  <si>
    <t>G19</t>
  </si>
  <si>
    <t>G20</t>
  </si>
  <si>
    <t>1. DECRETO</t>
  </si>
  <si>
    <t>2. BAG</t>
  </si>
  <si>
    <t>NOMBRE DEL PROPONENTE</t>
  </si>
  <si>
    <t>3. ACTA APERTURA ADM.</t>
  </si>
  <si>
    <t>4. ACTA EVALUACIÓN TEC/ADM.</t>
  </si>
  <si>
    <t>ID PROPONENTE</t>
  </si>
  <si>
    <t>VI OFERTADO</t>
  </si>
  <si>
    <t>AVI OFERTADO</t>
  </si>
  <si>
    <t>COMA OFERTADO</t>
  </si>
  <si>
    <t>VATT OFERTADO</t>
  </si>
  <si>
    <t>EVALUACIÓN TÉC</t>
  </si>
  <si>
    <t>EVALUACIÓN ADM</t>
  </si>
  <si>
    <t>CALIFICACIÓN</t>
  </si>
  <si>
    <t>Fecha de Promulgación</t>
  </si>
  <si>
    <t>ID Individual</t>
  </si>
  <si>
    <t>5. Evaluación Eco.</t>
  </si>
  <si>
    <t>VI Máx</t>
  </si>
  <si>
    <t>VATT Máx</t>
  </si>
  <si>
    <t>VI ADJUDICADO</t>
  </si>
  <si>
    <t>AVI ADJUDICADO</t>
  </si>
  <si>
    <t>COMA ADJUDICADO</t>
  </si>
  <si>
    <t>VATT ADJUDICADO</t>
  </si>
  <si>
    <t>EMPRESA ADJUDICADA</t>
  </si>
  <si>
    <t>STATUS</t>
  </si>
  <si>
    <t>6. Acta de ADJUDICACIÓN.</t>
  </si>
  <si>
    <t>ZONAL</t>
  </si>
  <si>
    <t>LICITADA</t>
  </si>
  <si>
    <t>ESTADO 2</t>
  </si>
  <si>
    <t>Decreto2</t>
  </si>
  <si>
    <t>Fecha de Promulgación2</t>
  </si>
  <si>
    <t>ESTADO 1</t>
  </si>
  <si>
    <t>CAM Chile S.A.</t>
  </si>
  <si>
    <t>Chint Electric Co.,Ltd</t>
  </si>
  <si>
    <t>Cobra Chile Servicios S.A.</t>
  </si>
  <si>
    <t>Consorcio Comulsa Elequipos Urivi Selk CL Multinacional S.A.</t>
  </si>
  <si>
    <t>Efacec Engenharia Sistemas S.A.</t>
  </si>
  <si>
    <t>Eiffage Energía Chile</t>
  </si>
  <si>
    <t>Elecnor Chile S.A.</t>
  </si>
  <si>
    <t>Consorcio GE - INGEC</t>
  </si>
  <si>
    <t>Consorcio Isotron Chile S.A</t>
  </si>
  <si>
    <t>Ortiz Energía S.A Agencia Chile</t>
  </si>
  <si>
    <t>Pine SpA.</t>
  </si>
  <si>
    <t>Prodiel Agencia en Chile</t>
  </si>
  <si>
    <t>Quanta Services SpA Chile</t>
  </si>
  <si>
    <t>Siemens S.A.</t>
  </si>
  <si>
    <t>SEMI S.A.</t>
  </si>
  <si>
    <t>TECNET S.A.</t>
  </si>
  <si>
    <t>1_PROCESO_OA_17</t>
  </si>
  <si>
    <t>PROP_10</t>
  </si>
  <si>
    <t>PROP_11</t>
  </si>
  <si>
    <t>PROP_12</t>
  </si>
  <si>
    <t>PROP_13</t>
  </si>
  <si>
    <t>PROP_14</t>
  </si>
  <si>
    <t>PROP_15</t>
  </si>
  <si>
    <t>PROP_16</t>
  </si>
  <si>
    <t>PROP_17</t>
  </si>
  <si>
    <t>PROP_18</t>
  </si>
  <si>
    <t>PROP_01</t>
  </si>
  <si>
    <t>PROP_02</t>
  </si>
  <si>
    <t>PROP_03</t>
  </si>
  <si>
    <t>PROP_04</t>
  </si>
  <si>
    <t>PROP_05</t>
  </si>
  <si>
    <t>PROP_06</t>
  </si>
  <si>
    <t>PROP_07</t>
  </si>
  <si>
    <t>PROP_08</t>
  </si>
  <si>
    <t>PROP_09</t>
  </si>
  <si>
    <t>Tecnet S.A.</t>
  </si>
  <si>
    <t>Abengoa Chile S.A.</t>
  </si>
  <si>
    <t>Inprolec S.A.</t>
  </si>
  <si>
    <t>Electricas de Medellin</t>
  </si>
  <si>
    <t>Monlux</t>
  </si>
  <si>
    <t>China Camc Engineering Co. Ltd</t>
  </si>
  <si>
    <t>INPROLEC S.A.</t>
  </si>
  <si>
    <t>NARI Group Corporation</t>
  </si>
  <si>
    <t>Ingesat S.A.</t>
  </si>
  <si>
    <t>HMV Chile</t>
  </si>
  <si>
    <t>Kipreos Ingenieros S.A.</t>
  </si>
  <si>
    <t>Transquinta S.A.</t>
  </si>
  <si>
    <t>ID PROPONENTE2</t>
  </si>
  <si>
    <t>Auxiliar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</si>
  <si>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</si>
  <si>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</si>
  <si>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</si>
  <si>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</si>
  <si>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</si>
  <si>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</si>
  <si>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</si>
  <si>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</si>
  <si>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</si>
  <si>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</si>
  <si>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</si>
  <si>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</si>
  <si>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</si>
  <si>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</si>
  <si>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</si>
  <si>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</si>
  <si>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</si>
  <si>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</si>
  <si>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</si>
  <si>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</si>
  <si>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</si>
  <si>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</si>
  <si>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</si>
  <si>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</si>
  <si>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</si>
  <si>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</si>
  <si>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</si>
  <si>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</si>
  <si>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</si>
  <si>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</si>
  <si>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</si>
  <si>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</si>
  <si>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</si>
  <si>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</si>
  <si>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</si>
  <si>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</si>
  <si>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</si>
  <si>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</si>
  <si>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</si>
  <si>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</si>
  <si>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</si>
  <si>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</si>
  <si>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</si>
  <si>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</si>
  <si>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</si>
  <si>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</si>
  <si>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</si>
  <si>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</si>
  <si>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</si>
  <si>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</si>
  <si>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</si>
  <si>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</si>
  <si>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</si>
  <si>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</si>
  <si>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</si>
  <si>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</si>
  <si>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</si>
  <si>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</si>
  <si>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</si>
  <si>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</si>
  <si>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</si>
  <si>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</si>
  <si>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</si>
  <si>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</si>
  <si>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</si>
  <si>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</si>
  <si>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</si>
  <si>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N° Decreto
Expansión</t>
  </si>
  <si>
    <t>Condicionada</t>
  </si>
  <si>
    <t>Estado</t>
  </si>
  <si>
    <t>Proceso</t>
  </si>
  <si>
    <t>Llamado</t>
  </si>
  <si>
    <t>Tipo de Proyecto</t>
  </si>
  <si>
    <t>Regional</t>
  </si>
  <si>
    <t xml:space="preserve">Región </t>
  </si>
  <si>
    <t>Obra</t>
  </si>
  <si>
    <t>Adjudicatario</t>
  </si>
  <si>
    <t>Proceso en qué se adjudicó</t>
  </si>
  <si>
    <t>Fecha Adjudicación</t>
  </si>
  <si>
    <t>N° Decreto
Adjudicación</t>
  </si>
  <si>
    <t>Fecha Decreto Adjudicación</t>
  </si>
  <si>
    <t>V.I. Ref [MMUSD]</t>
  </si>
  <si>
    <t>Plazo Constructivo
[meses]</t>
  </si>
  <si>
    <t>V.I. Adj</t>
  </si>
  <si>
    <t>V.I. Adj [MMUSD]</t>
  </si>
  <si>
    <t>AVI</t>
  </si>
  <si>
    <t>COMA</t>
  </si>
  <si>
    <t>VATT
Adj</t>
  </si>
  <si>
    <t>Periodo</t>
  </si>
  <si>
    <t>Tasa</t>
  </si>
  <si>
    <t>Código
Grupo</t>
  </si>
  <si>
    <t>Código
Subgrupo</t>
  </si>
  <si>
    <t>Relación con otro Decreto</t>
  </si>
  <si>
    <t>Fecha Informe Técnico Definitivo (ITD)</t>
  </si>
  <si>
    <t>Fecha Publicación
Decreto Exp</t>
  </si>
  <si>
    <t>Fecha Contrato</t>
  </si>
  <si>
    <t>Fecha Expediente Autoridades</t>
  </si>
  <si>
    <t>2017-418</t>
  </si>
  <si>
    <t>Zonal</t>
  </si>
  <si>
    <t>Obras de Ampliación</t>
  </si>
  <si>
    <t>No</t>
  </si>
  <si>
    <t>Adjudicado</t>
  </si>
  <si>
    <t>D418 - 1° Llamado</t>
  </si>
  <si>
    <t>SE</t>
  </si>
  <si>
    <t>Región de Arica y Parinacota</t>
  </si>
  <si>
    <t>Ampliación SE Parinacota</t>
  </si>
  <si>
    <t>Grid Solutions Chile S.A.</t>
  </si>
  <si>
    <t>19T-2019</t>
  </si>
  <si>
    <t>N/A</t>
  </si>
  <si>
    <t>17_418_Z_OA01</t>
  </si>
  <si>
    <t>-</t>
  </si>
  <si>
    <t>Región de Tarapacá</t>
  </si>
  <si>
    <t>Ampliación SE Cóndores</t>
  </si>
  <si>
    <t>17_418_Z_OA02</t>
  </si>
  <si>
    <t>D418 - 2° Llamado</t>
  </si>
  <si>
    <t>Región de Antofagasta</t>
  </si>
  <si>
    <t>Ampliación SE Calama</t>
  </si>
  <si>
    <t>Cobra - Cobra Brasil</t>
  </si>
  <si>
    <t>17_418_Z_OA03</t>
  </si>
  <si>
    <t>Ampliación SE Quiani</t>
  </si>
  <si>
    <t>Ametel Agencia en Chile</t>
  </si>
  <si>
    <t>17_418_Z_OA04</t>
  </si>
  <si>
    <t xml:space="preserve">Ampliación SE Capricornio </t>
  </si>
  <si>
    <t>Consorcio GE- Isotron Chile S.A</t>
  </si>
  <si>
    <t>17_418_Z_OA05</t>
  </si>
  <si>
    <t>Región de Atacama</t>
  </si>
  <si>
    <t>Ampliación SE Copayapu</t>
  </si>
  <si>
    <t>Sociedad Española De Montajes Industriales S.A.</t>
  </si>
  <si>
    <t>17_418_Z_OA06</t>
  </si>
  <si>
    <t>Región de Coquimbo</t>
  </si>
  <si>
    <t>Ampliación SE San Joaquín</t>
  </si>
  <si>
    <t>17_418_Z_OA07</t>
  </si>
  <si>
    <t>Ampliación SE Combarbalá</t>
  </si>
  <si>
    <t>17_418_Z_OA08</t>
  </si>
  <si>
    <t>Aumento Capacidad de Línea 1x110 kV Maitencillo - Algarrobo</t>
  </si>
  <si>
    <t>17_418_Z_OA09</t>
  </si>
  <si>
    <t>Región de Valparaiso</t>
  </si>
  <si>
    <t>17_418_Z_OA10</t>
  </si>
  <si>
    <t>Ampliación SE Agua Santa</t>
  </si>
  <si>
    <t>17_418_Z_OA11</t>
  </si>
  <si>
    <t>Ampliación SE Bosquemar</t>
  </si>
  <si>
    <t>17_418_Z_OA12</t>
  </si>
  <si>
    <t xml:space="preserve">Ampliación SE Placilla </t>
  </si>
  <si>
    <t>17_418_Z_OA13</t>
  </si>
  <si>
    <t>Ampliación SE San Antonio</t>
  </si>
  <si>
    <t>17_418_Z_OA14</t>
  </si>
  <si>
    <t>Región Metropolitana de Santiago</t>
  </si>
  <si>
    <t xml:space="preserve">Ampliación SE Alto Melipilla </t>
  </si>
  <si>
    <t>17_418_Z_OA15</t>
  </si>
  <si>
    <t>Desierta por valor máximo</t>
  </si>
  <si>
    <t>D171 - 1°Llamado</t>
  </si>
  <si>
    <t>Aumento de capacidad de transmisión en Línea 1x66 kV El Maitén - El Paico - El Monte</t>
  </si>
  <si>
    <t>No adjudicado</t>
  </si>
  <si>
    <t>17_418_Z_OA16</t>
  </si>
  <si>
    <t>D418 - 3° Llamado</t>
  </si>
  <si>
    <t xml:space="preserve">Ampliación SE Catemu </t>
  </si>
  <si>
    <t>17_418_Z_OA17</t>
  </si>
  <si>
    <t xml:space="preserve">Ampliación SE Río Blanco </t>
  </si>
  <si>
    <t>17_418_Z_OA18</t>
  </si>
  <si>
    <t>Ampliación SE San Felipe</t>
  </si>
  <si>
    <t>17_418_Z_OA19</t>
  </si>
  <si>
    <t>Ampliación SE Altamirano</t>
  </si>
  <si>
    <t>17_418_Z_OA20</t>
  </si>
  <si>
    <t xml:space="preserve">Ampliación SE Macul </t>
  </si>
  <si>
    <t>17_418_Z_OA21</t>
  </si>
  <si>
    <t>Ampliación SE Pudahuel</t>
  </si>
  <si>
    <t>17_418_Z_OA22</t>
  </si>
  <si>
    <t>Ampliación SE La Dehesa</t>
  </si>
  <si>
    <t>17_418_Z_OA23</t>
  </si>
  <si>
    <t xml:space="preserve">Seccionamiento SE Pirque </t>
  </si>
  <si>
    <t>17_418_Z_OA24</t>
  </si>
  <si>
    <t>Ampliación SE Pirque</t>
  </si>
  <si>
    <t>17_418_Z_OA25</t>
  </si>
  <si>
    <t>Ampliación SE Cerro Navia</t>
  </si>
  <si>
    <t>17_418_Z_OA26</t>
  </si>
  <si>
    <t>Modificación de paños de conexión de línea 2x110 kV Las Vegas - Cerro Navia  en nueva Sala GIS 110 kV SE Cerro Navia 110 kV</t>
  </si>
  <si>
    <t>17_418_Z_OA27</t>
  </si>
  <si>
    <t xml:space="preserve">Modificación de conexión de paños de transformación TR5 y nuevo banco en nuevo patio GIS 110 kV SE Cerro Navia 110 kV </t>
  </si>
  <si>
    <t>17_418_Z_OA28</t>
  </si>
  <si>
    <t>OAC</t>
  </si>
  <si>
    <t>Si</t>
  </si>
  <si>
    <t>Desierta por no presentación oferta</t>
  </si>
  <si>
    <t>D185 - 1°Llamado</t>
  </si>
  <si>
    <t>Región del Libertador General Bernardo O'Higgins</t>
  </si>
  <si>
    <t xml:space="preserve">Ampliación SE La Esperanza </t>
  </si>
  <si>
    <t>17_418_Z_OA29</t>
  </si>
  <si>
    <t>Región del libertador General Bernardo O'Higgins</t>
  </si>
  <si>
    <t>Ampliación SE Alcones</t>
  </si>
  <si>
    <t>17_418_Z_OA30</t>
  </si>
  <si>
    <t>Ampliación SE Alameda</t>
  </si>
  <si>
    <t>Andaluza de Montajes Eléctricos y Telefónicos S.A. Agencia en Chile.</t>
  </si>
  <si>
    <t>17_418_Z_OA33</t>
  </si>
  <si>
    <t>Ampliación SE Graneros</t>
  </si>
  <si>
    <t>17_418_Z_OA34</t>
  </si>
  <si>
    <t>Ampliación SE Pta. De Cortés</t>
  </si>
  <si>
    <t>17_418_Z_OA36</t>
  </si>
  <si>
    <t>Interregional Metropolitana - Bdo O' Higgins</t>
  </si>
  <si>
    <t>Seccionamiento en línea 2x154 kV Alto Jahuel - Tinguirirca en SE Pta. De Cortés</t>
  </si>
  <si>
    <t>17_418_Z_OA37</t>
  </si>
  <si>
    <t>Región del Maule</t>
  </si>
  <si>
    <t>Ampliación SE La Palma</t>
  </si>
  <si>
    <t>Quanta Services Chile Spa.</t>
  </si>
  <si>
    <t>17_418_Z_OA38</t>
  </si>
  <si>
    <t>Ampliación SE San Javier</t>
  </si>
  <si>
    <t>17_418_Z_OA39</t>
  </si>
  <si>
    <t xml:space="preserve">Ampliación de Constitución </t>
  </si>
  <si>
    <t>17_418_Z_OA40</t>
  </si>
  <si>
    <t>Ampliación SE Cauquenes</t>
  </si>
  <si>
    <t>17_418_Z_OA41</t>
  </si>
  <si>
    <t xml:space="preserve">Ampliación SE Maule </t>
  </si>
  <si>
    <t>17_418_Z_OA42</t>
  </si>
  <si>
    <t>Aumento de capacidad de transmision en Línea 2x66 kV Maule - Talca</t>
  </si>
  <si>
    <t>17_418_Z_OA43</t>
  </si>
  <si>
    <t>Ampliación SE Itahue</t>
  </si>
  <si>
    <t>17_418_Z_OA44</t>
  </si>
  <si>
    <t>Seccionamiento en SE Tap Linares Norte</t>
  </si>
  <si>
    <t>17_418_Z_OA45</t>
  </si>
  <si>
    <t>Ampliación SE Linares Norte</t>
  </si>
  <si>
    <t>17_418_Z_OA46</t>
  </si>
  <si>
    <t>Seccionamiento SE Panimávida</t>
  </si>
  <si>
    <t>17_418_Z_OA47</t>
  </si>
  <si>
    <t>Ampliación SE Panimávida</t>
  </si>
  <si>
    <t>17_418_Z_OA48</t>
  </si>
  <si>
    <t>Región de Ñuble</t>
  </si>
  <si>
    <t>Ampliación SE San Carlos</t>
  </si>
  <si>
    <t>17_418_Z_OA49</t>
  </si>
  <si>
    <t xml:space="preserve">Ampliación SE Parral </t>
  </si>
  <si>
    <t>17_418_Z_OA50</t>
  </si>
  <si>
    <t xml:space="preserve">Aumento de capacidad de transformación SE Longaví </t>
  </si>
  <si>
    <t>17_418_Z_OA51</t>
  </si>
  <si>
    <t>Seccionamiento SE San Gregorio</t>
  </si>
  <si>
    <t>17_418_Z_OA52</t>
  </si>
  <si>
    <t>Ampliación SE San Gregorio</t>
  </si>
  <si>
    <t>17_418_Z_OA53</t>
  </si>
  <si>
    <t>Región del Biobío</t>
  </si>
  <si>
    <t>Ampliación SE El Avellano</t>
  </si>
  <si>
    <t>CAM Chile SpA.</t>
  </si>
  <si>
    <t>17_418_Z_OA54</t>
  </si>
  <si>
    <t>Interregional Biobío - Ñuble</t>
  </si>
  <si>
    <t xml:space="preserve">Cambio circuitos 1x154 kV Charrúa - Tap Chillán y 1x154 kV  Charrúa  - Monterrico  </t>
  </si>
  <si>
    <t>17_418_Z_OA55</t>
  </si>
  <si>
    <t xml:space="preserve">Ampliación SE Monterrico </t>
  </si>
  <si>
    <t>17_418_Z_OA56</t>
  </si>
  <si>
    <t>Aumento de Capacidad SE San Pedro</t>
  </si>
  <si>
    <t>Elecnor  Chile S.A.</t>
  </si>
  <si>
    <t>17_418_Z_OA57</t>
  </si>
  <si>
    <t>Ampliación SE Mahns</t>
  </si>
  <si>
    <t>17_418_Z_OA58</t>
  </si>
  <si>
    <t>Ampliación SE Tomé</t>
  </si>
  <si>
    <t>17_418_Z_OA59</t>
  </si>
  <si>
    <t>Ampliación SE Chiguayante</t>
  </si>
  <si>
    <t>17_418_Z_OA60</t>
  </si>
  <si>
    <t xml:space="preserve">Ampliación SE Ejercito </t>
  </si>
  <si>
    <t>17_418_Z_OA61</t>
  </si>
  <si>
    <t>Región de la Araucanía</t>
  </si>
  <si>
    <t xml:space="preserve">Ampliación SE Pitrufquén </t>
  </si>
  <si>
    <t xml:space="preserve">Monlux </t>
  </si>
  <si>
    <t>17_418_Z_OA62</t>
  </si>
  <si>
    <t xml:space="preserve">Ampliación SE Curacautín </t>
  </si>
  <si>
    <t>17_418_Z_OA63</t>
  </si>
  <si>
    <t>Ampliación SE Collipulli</t>
  </si>
  <si>
    <t>17_418_Z_OA64</t>
  </si>
  <si>
    <t>Ampliación SE Lautaro</t>
  </si>
  <si>
    <t>17_418_Z_OA65</t>
  </si>
  <si>
    <t>Ampliación SE Padre las Casas</t>
  </si>
  <si>
    <t>17_418_Z_OA66</t>
  </si>
  <si>
    <t>Región de Los Ríos</t>
  </si>
  <si>
    <t>Ampliación SE Nueva Valdivia</t>
  </si>
  <si>
    <t>Consorcio Eléctrico Andes del Sur</t>
  </si>
  <si>
    <t>17_418_Z_OA67</t>
  </si>
  <si>
    <t>ON</t>
  </si>
  <si>
    <t>Obras Nuevas</t>
  </si>
  <si>
    <t>Nueva Subestación Guardiamarina 110/23-13 kV</t>
  </si>
  <si>
    <t>Sociedad Austral de Electricidad S.A.</t>
  </si>
  <si>
    <t>5T-2019</t>
  </si>
  <si>
    <t>17_418_Z_ON_01</t>
  </si>
  <si>
    <t>Nueva Subestación Río Aconcagua 220/110 kV</t>
  </si>
  <si>
    <t>17_418_Z_ON_02</t>
  </si>
  <si>
    <t>Subestación Nueva Casablanca 220/66 kV</t>
  </si>
  <si>
    <t>Consorcio Celeo Redes Chile - España</t>
  </si>
  <si>
    <t>17_418_Z_ON_G01</t>
  </si>
  <si>
    <t>17_418_Z_ON_03</t>
  </si>
  <si>
    <t>Nueva Subestación La Pólvora 220/110 kV</t>
  </si>
  <si>
    <t>17_418_Z_ON_04</t>
  </si>
  <si>
    <t>Interregional Metropolitana - Valparaiso</t>
  </si>
  <si>
    <t>Nueva Línea 2x220 kV Nueva Alto Melipilla – Nueva Casablanca – La Pólvora – Agua Santa</t>
  </si>
  <si>
    <t>17_418_Z_ON_05</t>
  </si>
  <si>
    <t>Subestación Nueva Panquehue 110/13,8 kV</t>
  </si>
  <si>
    <t>Consorcio Chilquinta LuzLinares</t>
  </si>
  <si>
    <t>17_418_Z_ON_06</t>
  </si>
  <si>
    <t>Subestación Seccionadora Nueva San Rafael 110 kV</t>
  </si>
  <si>
    <t>Besalco S.A.</t>
  </si>
  <si>
    <t>17_418_Z_ON_G02</t>
  </si>
  <si>
    <t>17_418_Z_ON_07</t>
  </si>
  <si>
    <t>Construcción Bypass 2x110 kV San Rafael</t>
  </si>
  <si>
    <t>17_418_Z_ON_08</t>
  </si>
  <si>
    <t>Nueva Subestación Pueblo Seco 154 kV</t>
  </si>
  <si>
    <t>17_418_Z_ON_09</t>
  </si>
  <si>
    <t>Interregional Maule - Ñuble - Biobío</t>
  </si>
  <si>
    <t>Nueva Línea 2x220 kV Mataquito – Nueva Nirivilo – Nueva Cauquenes – Dichato – Hualqui</t>
  </si>
  <si>
    <t>Consorcio Celeo Redes</t>
  </si>
  <si>
    <t>17_418_Z_ON_G03</t>
  </si>
  <si>
    <t>17_418_Z_ON_10</t>
  </si>
  <si>
    <t>Nueva Línea 2x220 kV Itahue – Mataquito</t>
  </si>
  <si>
    <t>17_418_Z_ON_11</t>
  </si>
  <si>
    <t>Nueva Subestación Seccionadora Hualqui 220/66 kV</t>
  </si>
  <si>
    <t>17_418_Z_ON_12</t>
  </si>
  <si>
    <t>Subestación Nueva Nirivilo 220/66 kV</t>
  </si>
  <si>
    <t>17_418_Z_ON_13</t>
  </si>
  <si>
    <t>Subestación Nueva Cauquenes 220/66 kV</t>
  </si>
  <si>
    <t>17_418_Z_ON_14</t>
  </si>
  <si>
    <t>Subestación Dichato 220/66 kV</t>
  </si>
  <si>
    <t>17_418_Z_ON_15</t>
  </si>
  <si>
    <t>Nueva Subestación Mataquito 220/66 kV</t>
  </si>
  <si>
    <t>17_418_Z_ON_16</t>
  </si>
  <si>
    <t>Nueva Línea 2x66 kV Nueva Cauquenes – Parral</t>
  </si>
  <si>
    <t>17_418_Z_ON_17</t>
  </si>
  <si>
    <t>Nueva Línea 2x66 kV Nueva Cauquenes – Cauquenes</t>
  </si>
  <si>
    <t>17_418_Z_ON_18</t>
  </si>
  <si>
    <t>Nueva Línea 2x66 kV Dichato – Tomé</t>
  </si>
  <si>
    <t>17_418_Z_ON_19</t>
  </si>
  <si>
    <t>Nueva Línea 2x66 kV Hualqui – Chiguayante</t>
  </si>
  <si>
    <t>17_418_Z_ON_20</t>
  </si>
  <si>
    <t>Nueva Subestación Trébol 220/66 kV</t>
  </si>
  <si>
    <t>17_418_Z_ON_G04</t>
  </si>
  <si>
    <t>17_418_Z_ON_21</t>
  </si>
  <si>
    <t>Nueva Línea 2x66 kV Trébol – Ejército</t>
  </si>
  <si>
    <t>17_418_Z_ON_23</t>
  </si>
  <si>
    <t>Nueva Subestación Guindo 220/66 kV</t>
  </si>
  <si>
    <t>17_418_Z_ON_22</t>
  </si>
  <si>
    <t>Región del biobío</t>
  </si>
  <si>
    <t>Nueva Subestación Los Varones 220/66 kV</t>
  </si>
  <si>
    <t>17_418_Z_ON_G05</t>
  </si>
  <si>
    <t>17_418_Z_ON_24</t>
  </si>
  <si>
    <t>Nueva Línea 2x66 kV Los Varones – El Avellano</t>
  </si>
  <si>
    <t>17_418_Z_ON_25</t>
  </si>
  <si>
    <t>Nueva Subestación Lastarria 220/66 kV</t>
  </si>
  <si>
    <t>17_418_Z_ON_26</t>
  </si>
  <si>
    <t>Subestación Nueva Metrenco 220/66 kV</t>
  </si>
  <si>
    <t>17_418_Z_ON_G06</t>
  </si>
  <si>
    <t>17_418_Z_ON_27</t>
  </si>
  <si>
    <t>Nueva Subestación Enlace Imperial 66/23 kV</t>
  </si>
  <si>
    <t>17_418_Z_ON_28</t>
  </si>
  <si>
    <t>Línea 2x66 kV Nueva Metrenco – Enlace Imperial</t>
  </si>
  <si>
    <t>17_418_Z_ON_29</t>
  </si>
  <si>
    <t>Nueva Línea 2x66 kV Nueva Valdivia - Picarte, tendido del primer circuito</t>
  </si>
  <si>
    <t>17_418_Z_ON_30</t>
  </si>
  <si>
    <t>Región de Los Lagos</t>
  </si>
  <si>
    <t>Nueva Línea 2x220 kV Gamboa – Chonchi energizada en 110 kV, tendido del primer circuito</t>
  </si>
  <si>
    <t>Sociedad de Transmisión Austral S.A</t>
  </si>
  <si>
    <t>D185 - 1° LLamado</t>
  </si>
  <si>
    <t>17_418_Z_ON_31</t>
  </si>
  <si>
    <t>2017-422</t>
  </si>
  <si>
    <t>Nacional</t>
  </si>
  <si>
    <t>D422 - 1° Llamado</t>
  </si>
  <si>
    <t>S/E Seccionadora Algarrobal 220 kV</t>
  </si>
  <si>
    <t>Engie Energía Chile S.A.</t>
  </si>
  <si>
    <t>14T-2018</t>
  </si>
  <si>
    <t>17_422_ON_01</t>
  </si>
  <si>
    <t>Nueva Línea Nueva Pan de Azúcar - Punta Sierra - Nueva Los Pelambres 2x220 kV 2x580 MVA</t>
  </si>
  <si>
    <t>Consorcio Ferrovial Transco Chile SpA - Ferrovial Transco Chile III SpA</t>
  </si>
  <si>
    <t>18T-2018</t>
  </si>
  <si>
    <t>17_422_ON_02</t>
  </si>
  <si>
    <t>S/E Seccionadora El Rosal 220 kV</t>
  </si>
  <si>
    <t>13T-2018</t>
  </si>
  <si>
    <t>17_422_ON_03</t>
  </si>
  <si>
    <t>S/E Seccionadora Río Toltén 220 kV</t>
  </si>
  <si>
    <t>16T-2018</t>
  </si>
  <si>
    <t>17_422_ON_04</t>
  </si>
  <si>
    <t>S/E Seccionadora Río Malleco 220 kV</t>
  </si>
  <si>
    <t>10T-2018</t>
  </si>
  <si>
    <t>17_422_ON_05</t>
  </si>
  <si>
    <t>S/E Seccionadora Frutillar Norte 220 kV</t>
  </si>
  <si>
    <t>11T-2018</t>
  </si>
  <si>
    <t>17_422_ON_06</t>
  </si>
  <si>
    <t>SE y LT</t>
  </si>
  <si>
    <t>Subestación Seccionadora Nueva Chuquicamata 220 kV y Nueva Línea 2x220 kV entre S/E Nueva Chuquicamata - Calama, tendido del primer circuito</t>
  </si>
  <si>
    <t>15T-2018</t>
  </si>
  <si>
    <t>17_422_ON_07</t>
  </si>
  <si>
    <t>Región de los Lagos</t>
  </si>
  <si>
    <t>Línea Nueva Puerto Montt – Nueva Ancud 2x500 kV 2x1500 MVA Nuevo cruce aéreo 2x500 kV 2x1500 MVA, ambos energizados en 220 kV y S/E Nueva Ancud 220 kV.</t>
  </si>
  <si>
    <t>Transelec Holdings Rentas Limitada</t>
  </si>
  <si>
    <t>17T-2018</t>
  </si>
  <si>
    <t>17_422_ON_08</t>
  </si>
  <si>
    <t>2018-293</t>
  </si>
  <si>
    <t>D4-D293 - 1° Llamado</t>
  </si>
  <si>
    <t>Ampliación en S/E Candelaria</t>
  </si>
  <si>
    <t>15T-2021</t>
  </si>
  <si>
    <t>Colbún S.A.</t>
  </si>
  <si>
    <t>18_293_OA01</t>
  </si>
  <si>
    <t>18_293_OA_01</t>
  </si>
  <si>
    <t>Ampliación en S/E Lagunas</t>
  </si>
  <si>
    <t>B.Bosch S.A.</t>
  </si>
  <si>
    <t>18_293_OA02</t>
  </si>
  <si>
    <t>18_293_OA_02</t>
  </si>
  <si>
    <t>D293 - 1° Llamado</t>
  </si>
  <si>
    <t>Aumento de Capacidad de Línea 2x220 kV Nueva Puerto Montt - Puerto Montt y Ampliación en S/E Nueva Puerto Montt</t>
  </si>
  <si>
    <t>SOCIEDAD ESPAÑOLA DE MONTAJES INDUSTRIALES S.A.</t>
  </si>
  <si>
    <t>8T-2020</t>
  </si>
  <si>
    <t>18_293_OA_G10</t>
  </si>
  <si>
    <t>18_293_OA03</t>
  </si>
  <si>
    <t>18_293_OA_03</t>
  </si>
  <si>
    <t>Interrgional Araucanía - Los Ríos</t>
  </si>
  <si>
    <t>Aumento de Capacidad de Línea 2x220 kV Ciruelos - Cautín</t>
  </si>
  <si>
    <t>18_293_OA_G08</t>
  </si>
  <si>
    <t>18_293_OA04</t>
  </si>
  <si>
    <t>18_293_OA_04</t>
  </si>
  <si>
    <t>Doble vinculación Transformador N°1 220/110 kV en S/E Cardones</t>
  </si>
  <si>
    <t>18_293_OA_G01</t>
  </si>
  <si>
    <t>18_293_OA05</t>
  </si>
  <si>
    <t>18_293_OA_05</t>
  </si>
  <si>
    <t>Ampliación en S/E Caldera</t>
  </si>
  <si>
    <t>20_185-171_OC_G06</t>
  </si>
  <si>
    <t>18_293_OA06</t>
  </si>
  <si>
    <t>18_293_OA_06</t>
  </si>
  <si>
    <t>Ampliación en S/E Cerrillos</t>
  </si>
  <si>
    <t>20_185-171_OC_G07</t>
  </si>
  <si>
    <t>18_293_OA07</t>
  </si>
  <si>
    <t>18_293_OA_07</t>
  </si>
  <si>
    <t>Ampliación en S/E Atacama Kozán</t>
  </si>
  <si>
    <t>Soc. Contractual Minera Atacama Kozán</t>
  </si>
  <si>
    <t>18_293_OA08</t>
  </si>
  <si>
    <t>18_293_OA_08</t>
  </si>
  <si>
    <t>Ampliación en S/E Plantas</t>
  </si>
  <si>
    <t>18_293_OA09</t>
  </si>
  <si>
    <t>18_293_OA_09</t>
  </si>
  <si>
    <t>Nuevo Transformador en S/E Illapel</t>
  </si>
  <si>
    <t>Ferrovial Construcción Chile S.A</t>
  </si>
  <si>
    <t>D171- 1° Llamado</t>
  </si>
  <si>
    <t>18_293_OA_G02</t>
  </si>
  <si>
    <t>18_293_OA10</t>
  </si>
  <si>
    <t>18_293_OA_10</t>
  </si>
  <si>
    <t>Nueva S/E Móvil Región de Valparaíso</t>
  </si>
  <si>
    <t>Consorcio Emelta EPC</t>
  </si>
  <si>
    <t>Chilquinta</t>
  </si>
  <si>
    <t>18_293_OA_G11</t>
  </si>
  <si>
    <t>18_293_OA11</t>
  </si>
  <si>
    <t>18_293_OA_11</t>
  </si>
  <si>
    <t>Tendido segundo circuito Línea 2x110 kV Agua Santa - Placilla</t>
  </si>
  <si>
    <t>18_293_OA_G03</t>
  </si>
  <si>
    <t>18_293_OA_SG01</t>
  </si>
  <si>
    <t>18_293_OA12</t>
  </si>
  <si>
    <t>18_293_OA_12</t>
  </si>
  <si>
    <t>Aumento de Capacidad Línea 2x110 kV Aconcagua – Esperanza, Segmento entre S/E Río Aconcagua y S/E Panquehue</t>
  </si>
  <si>
    <t>18_293_OA13</t>
  </si>
  <si>
    <t>18_293_OA_13</t>
  </si>
  <si>
    <t>18_293_OA14</t>
  </si>
  <si>
    <t>18_293_OA_14</t>
  </si>
  <si>
    <t>Nuevo Transformador en S/E La Calera</t>
  </si>
  <si>
    <t>18_293_OA15</t>
  </si>
  <si>
    <t>18_293_OA_15</t>
  </si>
  <si>
    <t>Extensión de Línea 1x66 kV Las Piñatas – San Jerónimo</t>
  </si>
  <si>
    <t>Litoral S.A.</t>
  </si>
  <si>
    <t>18_293_OA16</t>
  </si>
  <si>
    <t>18_293_OA_16</t>
  </si>
  <si>
    <t>Adecuaciones en S/E El Salto</t>
  </si>
  <si>
    <t>Consorcio Cobra Servicos, Comunicacoes E Energia S.A. - Cobra Montajes, Servicios y Agua Limitada</t>
  </si>
  <si>
    <t>Enel Distribución</t>
  </si>
  <si>
    <t>18_293_OA_G04</t>
  </si>
  <si>
    <t>18_293_OA17</t>
  </si>
  <si>
    <t>18_293_OA_17</t>
  </si>
  <si>
    <t>Aumento de Capacidad en S/E Colchagua</t>
  </si>
  <si>
    <t>18_293_OA_G05</t>
  </si>
  <si>
    <t>18_293_OA18</t>
  </si>
  <si>
    <t>18_293_OA_18</t>
  </si>
  <si>
    <t>Aumento de Capacidad en S/E Piduco</t>
  </si>
  <si>
    <t>18_293_OA_G06</t>
  </si>
  <si>
    <t>18_293_OA19</t>
  </si>
  <si>
    <t>18_293_OA_19</t>
  </si>
  <si>
    <t>Aumento de Capacidad en S/E El Monte</t>
  </si>
  <si>
    <t>18_293_OA_G12</t>
  </si>
  <si>
    <t>18_293_OA20</t>
  </si>
  <si>
    <t>18_293_OA_20</t>
  </si>
  <si>
    <t>Ampliación Línea 2x220 kV Punta de Cortés - Tuniche: Incorporación de paños de línea</t>
  </si>
  <si>
    <t>18_293_OA21</t>
  </si>
  <si>
    <t>18_293_OA_21</t>
  </si>
  <si>
    <t>Nuevo Transformador en S/E Punta de Cortés</t>
  </si>
  <si>
    <t>18_293_OA22</t>
  </si>
  <si>
    <t>18_293_OA_22</t>
  </si>
  <si>
    <t>Ampliación en S/E Punta de Cortés para interconexión de Línea 2x220 kV Punta de Cortés - Tuniche</t>
  </si>
  <si>
    <t>18_293_OA23</t>
  </si>
  <si>
    <t>18_293_OA_23</t>
  </si>
  <si>
    <t>Aumento de Capacidad de línea 1x66 kV Rosario - San Fernando, Segmento Tap Rengo - Pelequén</t>
  </si>
  <si>
    <t>Consorcio Monlux Chile S.A- Servicios Eléctricos Elecsa Limitada</t>
  </si>
  <si>
    <t>18_293_OA24</t>
  </si>
  <si>
    <t>18_293_OA_24</t>
  </si>
  <si>
    <t>Aumento de Capacidad de Línea 1x66 kV Pelequén - Malloa</t>
  </si>
  <si>
    <t>18_293_OA25</t>
  </si>
  <si>
    <t>18_293_OA_25</t>
  </si>
  <si>
    <t>Nueva S/E Móvil Región del Maule</t>
  </si>
  <si>
    <t>18_293_OA26</t>
  </si>
  <si>
    <t>18_293_OA_26</t>
  </si>
  <si>
    <t>Interregional Biobío - Araucanía</t>
  </si>
  <si>
    <t>Nueva S/E Móvil Región del Biobío y Región de la Araucanía</t>
  </si>
  <si>
    <t>18_293_OA27</t>
  </si>
  <si>
    <t>18_293_OA_27</t>
  </si>
  <si>
    <t>Ampliación en S/E El Manzano</t>
  </si>
  <si>
    <t>18_293_OA28</t>
  </si>
  <si>
    <t>18_293_OA_28</t>
  </si>
  <si>
    <t>Ampliación S/E La Esperanza</t>
  </si>
  <si>
    <t>18_293_OA29</t>
  </si>
  <si>
    <t>18_293_OA_29</t>
  </si>
  <si>
    <t>Ampliación en S/E Negrete</t>
  </si>
  <si>
    <t>Frontel S.A.</t>
  </si>
  <si>
    <t>18_293_OA_G07</t>
  </si>
  <si>
    <t>18_293_OA_SG03</t>
  </si>
  <si>
    <t>18_293_OA30</t>
  </si>
  <si>
    <t>18_293_OA_30</t>
  </si>
  <si>
    <t>Ampliación en S/E Laja</t>
  </si>
  <si>
    <t>Efacec</t>
  </si>
  <si>
    <t>18_293_OA31</t>
  </si>
  <si>
    <t>18_293_OA_31</t>
  </si>
  <si>
    <t>Ampliación en S/E Celulosa Laja</t>
  </si>
  <si>
    <t>CMPC  S.A.</t>
  </si>
  <si>
    <t>18_293_OA32</t>
  </si>
  <si>
    <t>18_293_OA_32</t>
  </si>
  <si>
    <t>Aumento de Capacidad Línea 1x66 kV Chacahuín - Linares</t>
  </si>
  <si>
    <t>18_293_OA33</t>
  </si>
  <si>
    <t>18_293_OA_33</t>
  </si>
  <si>
    <t>Ampliación en S/E Lautaro</t>
  </si>
  <si>
    <t>18_293_OA34</t>
  </si>
  <si>
    <t>18_293_OA_34</t>
  </si>
  <si>
    <t>Ampliación en S/E San Vicente de Tagua Tagua</t>
  </si>
  <si>
    <t>18_293_OA36</t>
  </si>
  <si>
    <t>18_293_OA_36</t>
  </si>
  <si>
    <t>Nuevo Transformador en S/E Los Ángeles</t>
  </si>
  <si>
    <t>18_293_OA37</t>
  </si>
  <si>
    <t>18_293_OA_37</t>
  </si>
  <si>
    <t>Ampliación en S/E Chivilcán</t>
  </si>
  <si>
    <t>Cavalla Construcciones y Montajes Limitada.</t>
  </si>
  <si>
    <t>18_293_OA_G09</t>
  </si>
  <si>
    <t>18_293_OA38</t>
  </si>
  <si>
    <t>18_293_OA_38</t>
  </si>
  <si>
    <t>Ampliación en S/E Monterrico</t>
  </si>
  <si>
    <t>18_293_OA_G13</t>
  </si>
  <si>
    <t>18_293_OA39</t>
  </si>
  <si>
    <t>18_293_OA_39</t>
  </si>
  <si>
    <t>Aumento de Capacidad de Línea 1x66 kV Coronel – Horcones, Segmento Tap Lota - Horcones</t>
  </si>
  <si>
    <t>18_293_OA40</t>
  </si>
  <si>
    <t>18_293_OA_40</t>
  </si>
  <si>
    <t>Aumento de Capacidad de Línea 1x66 kV Lihueimo– Paniahue y Ampliaciones en S/E Paniahue y S/E Lihueimo</t>
  </si>
  <si>
    <t>18_293_OA41</t>
  </si>
  <si>
    <t>18_293_OA_41</t>
  </si>
  <si>
    <t>Ampliación en S/E Valdivia</t>
  </si>
  <si>
    <t>STS S.A.</t>
  </si>
  <si>
    <t>18_293_OA42</t>
  </si>
  <si>
    <t>18_293_OA_42</t>
  </si>
  <si>
    <t>2019-004</t>
  </si>
  <si>
    <t>D4 - 1° Llamado</t>
  </si>
  <si>
    <t>Nueva S/E Seccionadora Parinas 500/220 kV</t>
  </si>
  <si>
    <t>13T-2021</t>
  </si>
  <si>
    <t>19_4_ON_G01</t>
  </si>
  <si>
    <t>19_4_ON_01</t>
  </si>
  <si>
    <t>Nueva S/E Seccionadora JMA 220 kV</t>
  </si>
  <si>
    <t>19_4_ON_02</t>
  </si>
  <si>
    <t>Nueva Línea 4x220 kV desde S/E Nueva Los Pelambres a Seccionamiento del segmento de la Línea 2x220 kV Los Piuquenes - Tap Mauro</t>
  </si>
  <si>
    <t>Consorcio Ferrovial Power Infrastructure Chile SpA – Ferrovial Transco Chile II SpA</t>
  </si>
  <si>
    <t>19_4_ON_03</t>
  </si>
  <si>
    <t>Construcción Bypass para Línea 1x220 kV Atacama – Esmeralda, Línea 1x110 kV Esmeralda – La Portada y Línea 1x110 kV Mejillones – Antofagasta y Desmantelamiento.</t>
  </si>
  <si>
    <t>19_4_ON_04</t>
  </si>
  <si>
    <t>S/E Seccionadora Nueva La Negra 220/110 kV</t>
  </si>
  <si>
    <t>19_4_ON_05</t>
  </si>
  <si>
    <t>Nueva S/E Seccionadora La Ruca 110 kV</t>
  </si>
  <si>
    <t>19_4_ON_06</t>
  </si>
  <si>
    <t>Nueva S/E Seccionadora Chagres 44 kV</t>
  </si>
  <si>
    <t>19_4_ON_07</t>
  </si>
  <si>
    <t>Nueva Línea 2x500 kV Parinas - Likanantai, Energizada en 220 kV</t>
  </si>
  <si>
    <t>19_4_ON_08</t>
  </si>
  <si>
    <t>Nueva Línea 2x220 kV Lagunas - Nueva Pozo Almonte, Tendido primer circuito </t>
  </si>
  <si>
    <t>19_4_OC_G01</t>
  </si>
  <si>
    <t>19_4_OC_01</t>
  </si>
  <si>
    <t>Nueva Línea 2x110 kV desde S/E Caldera a Línea 1x110 kV Cardones – Punta Padrones </t>
  </si>
  <si>
    <t>19_4_OC_02</t>
  </si>
  <si>
    <t>Nueva Línea 1x110 kV Cerrillos – Atacama Kozán </t>
  </si>
  <si>
    <t>19_4_OC_03</t>
  </si>
  <si>
    <t>Nueva Línea 2x220 kV Candelaria - Nueva Tuniche y S/E Nueva Tuniche 220 kV </t>
  </si>
  <si>
    <t>19_4_OC_G04</t>
  </si>
  <si>
    <t>19_4_OC_04</t>
  </si>
  <si>
    <t>Nueva Línea 1x66kV La Esperanza-El Manzano </t>
  </si>
  <si>
    <t>19_4_OC_05</t>
  </si>
  <si>
    <t>Nueva S/E La Señoraza 220/66 kV </t>
  </si>
  <si>
    <t>19_4_OC_G06</t>
  </si>
  <si>
    <t>19_4_OC_06</t>
  </si>
  <si>
    <t>2019-198</t>
  </si>
  <si>
    <t>D198 - 1° Llamado</t>
  </si>
  <si>
    <t>Ampliación en S/E Pozo Almonte</t>
  </si>
  <si>
    <t>Consorcio Cobra Brasil Servicios, Comunicaciones y Energía S.A.- Cobra Montajes , Servicios y Agua Limitada.</t>
  </si>
  <si>
    <t>18T-2021</t>
  </si>
  <si>
    <t>19_198_OA_G01</t>
  </si>
  <si>
    <t>19_198_OA_01</t>
  </si>
  <si>
    <t>Ampliación en S/E Tamarugal y aumento de capacidad de línea 1x66 kV Pozo Almonte – Tamarugal</t>
  </si>
  <si>
    <t>19_198_OA_02</t>
  </si>
  <si>
    <t>Interregional Arica y Parinacota - Tarapacá</t>
  </si>
  <si>
    <t>Seccionamiento línea 1x110 kV Arica – Pozo Almonte en S/E Dolores</t>
  </si>
  <si>
    <t>19_198_OA_03</t>
  </si>
  <si>
    <t>Ampliación en S/E Chinchorro</t>
  </si>
  <si>
    <t>Emelari S.A.</t>
  </si>
  <si>
    <t>19_198_OA_04</t>
  </si>
  <si>
    <t>Ampliación en S/E Centinela y Seccionamiento de Línea 2x220 kV El Cobre – Esperanza</t>
  </si>
  <si>
    <t>Centinela Transmisión S.A.</t>
  </si>
  <si>
    <t>19_198_OA_G02</t>
  </si>
  <si>
    <t>19_198_OA_05</t>
  </si>
  <si>
    <t>Ampliación en S/E Calama 220 kV</t>
  </si>
  <si>
    <t>Transemel S.A.</t>
  </si>
  <si>
    <t>19_198_OA_SG01</t>
  </si>
  <si>
    <t>19_198_OA_06</t>
  </si>
  <si>
    <t>Ampliación en S/E Calama 110 kV</t>
  </si>
  <si>
    <t>19_198_OA_07</t>
  </si>
  <si>
    <t>Ampliación en S/E Centro</t>
  </si>
  <si>
    <t>19_198_OA_08</t>
  </si>
  <si>
    <t>Aumento de Capacidad Línea 2x220 kV Maitencillo - Nueva Maitencillo</t>
  </si>
  <si>
    <t>Consorcio Eléctrico Andes del Sur (Eléctrica de Medellín, Agencia en Chile  - Distrocuyo Chile S.A.)</t>
  </si>
  <si>
    <t>Interchile S.A.</t>
  </si>
  <si>
    <t>19_198_OA_G03</t>
  </si>
  <si>
    <t>19_198_OA_09</t>
  </si>
  <si>
    <t>Ampliación en S/E Nueva Pan de Azúcar</t>
  </si>
  <si>
    <t>19_198_OA_10</t>
  </si>
  <si>
    <t>Ampliación en S/E Cumbre</t>
  </si>
  <si>
    <t>Diego de Almagro Transmisora de Energía S.A.</t>
  </si>
  <si>
    <t>19_198_OA_11</t>
  </si>
  <si>
    <t>Ampliación en S/E Ovalle</t>
  </si>
  <si>
    <t>19_198_OA_G04</t>
  </si>
  <si>
    <t>19_198_OA12</t>
  </si>
  <si>
    <t>19_198_OA_12</t>
  </si>
  <si>
    <t>Línea 1x110 kV Bosquemar – Tap Reñaca – Reñaca</t>
  </si>
  <si>
    <t>19_198_OA_G05</t>
  </si>
  <si>
    <t>19_198_OA_15</t>
  </si>
  <si>
    <t>Ampliación en S/E El Totoral</t>
  </si>
  <si>
    <t>Empresa Eléctrica Litoral</t>
  </si>
  <si>
    <t>19_198_OA_16</t>
  </si>
  <si>
    <t>Ampliación en S/E Casablanca</t>
  </si>
  <si>
    <t>19_198_OA_17</t>
  </si>
  <si>
    <t>Ampliación en S/E Chocalán</t>
  </si>
  <si>
    <t>19_198_OA_18</t>
  </si>
  <si>
    <t>Ampliación en S/E Mandinga</t>
  </si>
  <si>
    <t>19_198_OA_19</t>
  </si>
  <si>
    <t>Ampliación en S/E Alto Melipilla</t>
  </si>
  <si>
    <t>19_198_OA_20</t>
  </si>
  <si>
    <t>Ampliación en S/E Polpaico</t>
  </si>
  <si>
    <t>19_198_OA_G06</t>
  </si>
  <si>
    <t>19_198_OA_21</t>
  </si>
  <si>
    <t>Ampliación en S/E Polpaico (Enel Distribución)</t>
  </si>
  <si>
    <t>19_198_OA_22</t>
  </si>
  <si>
    <t>Ampliación en S/E Rungue</t>
  </si>
  <si>
    <t>19_198_OA_23</t>
  </si>
  <si>
    <t>Refuerzo Tramo Tap Vitacura – Vitacura</t>
  </si>
  <si>
    <t>19_198_OA_24</t>
  </si>
  <si>
    <t>Nueva S/E Móvil Región Metropolitana</t>
  </si>
  <si>
    <t>ABB Power Grids Chile S.A</t>
  </si>
  <si>
    <t>19_198_OA_G07</t>
  </si>
  <si>
    <t>19_198_OA_25</t>
  </si>
  <si>
    <t>Aumento de Capacidad Línea 2x500 kV Alto Jahuel - Lo Aguirre y Ampliación en S/E Lo Aguirre</t>
  </si>
  <si>
    <t>PowerChina  Ltd, Agencia en Chile.</t>
  </si>
  <si>
    <t>19_198_OA_G08</t>
  </si>
  <si>
    <t>19_198_OA_26</t>
  </si>
  <si>
    <t>Ampliación en S/E Fátima</t>
  </si>
  <si>
    <t>19_198_OA_G09</t>
  </si>
  <si>
    <t>19_198_OA_27</t>
  </si>
  <si>
    <t>Ampliación en S/E Loreto</t>
  </si>
  <si>
    <t>19_198_OA_28</t>
  </si>
  <si>
    <t>Ampliación en S/E Lihueimo</t>
  </si>
  <si>
    <t>19_198_OA_29</t>
  </si>
  <si>
    <t>418 y 293</t>
  </si>
  <si>
    <t>Seccionamiento Línea 2x220 kV Ancoa – Itahue en S/E Santa Isabel</t>
  </si>
  <si>
    <t>19_198_OA_G10</t>
  </si>
  <si>
    <t>19_198_OA_31</t>
  </si>
  <si>
    <t>Ampliación en S/E Molina y Seccionamiento de la Línea 2x66 kV Itahue – Curicó</t>
  </si>
  <si>
    <t>19_198_OA_32</t>
  </si>
  <si>
    <t>Ampliación en S/E San Clemente</t>
  </si>
  <si>
    <t>19_198_OA_G11</t>
  </si>
  <si>
    <t>19_198_OA_34</t>
  </si>
  <si>
    <t>Aumento de Capacidad Línea 1x66 kV Tap Linares Norte – Linares y Ampliación en S/E Linares</t>
  </si>
  <si>
    <t>19_198_OA_35</t>
  </si>
  <si>
    <t>Aumento de Capacidad Línea 1x66 kV Nirivilo - San Javier</t>
  </si>
  <si>
    <t>19_198_OA_G12</t>
  </si>
  <si>
    <t>19_198_OA_36</t>
  </si>
  <si>
    <t>Seccionamiento Línea 1x66 kV San Javier - Constitución en S/E Nueva Nirivilo</t>
  </si>
  <si>
    <t>19_198_OA_SG03</t>
  </si>
  <si>
    <t>19_198_OA_37</t>
  </si>
  <si>
    <t>Ampliación en S/E Nirivilo</t>
  </si>
  <si>
    <t>19_198_OA_38</t>
  </si>
  <si>
    <t>Nueva Línea 2x66 kV Nueva Nirivilo – Nirivilo, Tendido del Primer Circuito</t>
  </si>
  <si>
    <t>19_198_OA_39</t>
  </si>
  <si>
    <t>Aumento de Capacidad Línea 1x66 kV Monterrico – Cocharcas</t>
  </si>
  <si>
    <t>19_198_OA_G13</t>
  </si>
  <si>
    <t>19_198_OA_SG04</t>
  </si>
  <si>
    <t>19_198_OA_40</t>
  </si>
  <si>
    <t>Ampliación de Capacidad Línea 1x66 kV Charrúa – Chillán</t>
  </si>
  <si>
    <t>19_198_OA_42</t>
  </si>
  <si>
    <t>Ampliación en S/E Charrúa</t>
  </si>
  <si>
    <t>19_198_OA_41</t>
  </si>
  <si>
    <t>Aumento de Capacidad Línea 1x66 kV Tap Loma Colorada – Loma Colorada y Ampliación en S/E Loma Colorada</t>
  </si>
  <si>
    <t>19_198_OA_G14</t>
  </si>
  <si>
    <t>19_198_OA_43</t>
  </si>
  <si>
    <t>Ampliación en S/E Escuadrón</t>
  </si>
  <si>
    <t>19_198_OA_44</t>
  </si>
  <si>
    <t>Seccionamiento en S/E Santa Bárbara</t>
  </si>
  <si>
    <t>Empresa Eléctrica de la Frontera S.A.</t>
  </si>
  <si>
    <t>19_198_OA_G15</t>
  </si>
  <si>
    <t>19_198_OA_45</t>
  </si>
  <si>
    <t>Ampliación en S/E Los Varones</t>
  </si>
  <si>
    <t>19_198_OA_46</t>
  </si>
  <si>
    <t>19_198_OA_47</t>
  </si>
  <si>
    <t>Reactor en S/E Nueva Pichirropulli</t>
  </si>
  <si>
    <t>Eletrans S.A.</t>
  </si>
  <si>
    <t>19_198_OA_G16</t>
  </si>
  <si>
    <t>19_198_OA_49</t>
  </si>
  <si>
    <t>Ampliación en S/E Pumahue</t>
  </si>
  <si>
    <t>19_198_OA_50</t>
  </si>
  <si>
    <t>Ampliación en S/E Gorbea</t>
  </si>
  <si>
    <t>19_198_OA_51</t>
  </si>
  <si>
    <t>Ampliación en S/E Victoria</t>
  </si>
  <si>
    <t>19_198_OA_52</t>
  </si>
  <si>
    <t>Ampliación en S/E Picarte</t>
  </si>
  <si>
    <t>Sistema de Transmisión del Sur S.A.</t>
  </si>
  <si>
    <t>19_198_OA_53</t>
  </si>
  <si>
    <t>D231 - 1° Llamado</t>
  </si>
  <si>
    <t>Ampliación en S/E Portezuelo</t>
  </si>
  <si>
    <t>Colbún Transmisión S.A.</t>
  </si>
  <si>
    <t>19_198_OC_01</t>
  </si>
  <si>
    <t>Ampliación en S/E Nueva Nirivilo</t>
  </si>
  <si>
    <t>Celeo Redes Chile Limitada</t>
  </si>
  <si>
    <t>Celeo Redes</t>
  </si>
  <si>
    <t>19_198_OC_02</t>
  </si>
  <si>
    <t>Ampliación en S/E Constitución</t>
  </si>
  <si>
    <t>19_198_OC_03</t>
  </si>
  <si>
    <t>19_198_OA_30</t>
  </si>
  <si>
    <t>2019-231</t>
  </si>
  <si>
    <t>Nueva S/E Seccionadora Roncacho</t>
  </si>
  <si>
    <t>19_231_ON_01</t>
  </si>
  <si>
    <t>Nueva S/E Seccionadora Agua Amarga</t>
  </si>
  <si>
    <t>19_231_ON_02</t>
  </si>
  <si>
    <t>Nueva S/E Seccionadora Damascal</t>
  </si>
  <si>
    <t>19_231_ON_03</t>
  </si>
  <si>
    <t>Nueva línea 2x66 kV Nueva Nirivilo – Constitución, tendido del primer circuito</t>
  </si>
  <si>
    <t>19_231_ON_05</t>
  </si>
  <si>
    <t>Nueva Línea 2x110 kV Alto Melipilla – Bajo Melipilla, tendido del primer circuito</t>
  </si>
  <si>
    <t>19_231_ON_06</t>
  </si>
  <si>
    <t>Nueva S/E Seccionadora Codegua</t>
  </si>
  <si>
    <t>19_231_ON_07</t>
  </si>
  <si>
    <t>Nueva S/E Seccionadora Loica y Nueva Línea 2x220 kV Loica – Portezuelo</t>
  </si>
  <si>
    <t>19_231_ON_08</t>
  </si>
  <si>
    <t>2020-171</t>
  </si>
  <si>
    <t>Ampliación en S/E Palafitos (NTR ATMT)</t>
  </si>
  <si>
    <t>Siemsa Chile S.A</t>
  </si>
  <si>
    <t>Compañía General de Electricidad S.A.</t>
  </si>
  <si>
    <t>20_171_OA01</t>
  </si>
  <si>
    <t>Ampliación en S/E Frontera y Seccionamiento Línea 2x220 kV Lagunas – Encuentro</t>
  </si>
  <si>
    <t>20_171_OA_G01</t>
  </si>
  <si>
    <t>20_171_OA_SG01</t>
  </si>
  <si>
    <t>20_171_OA02</t>
  </si>
  <si>
    <t>Aumento de capacidad Líneas 2x220 kV Frontera – María Elena y 2x220 kV María Elena – Kimal</t>
  </si>
  <si>
    <t>Transelec S.A., Kelti S.A:, Sociedad Austral de Transmisión Troncal S.A. y Zaldívar Transmisión S.A.</t>
  </si>
  <si>
    <t>20_171_OA03</t>
  </si>
  <si>
    <t>Ampliación en S/E Ana María y Seccionamiento Línea 2x220 kV Frontera - María Elena</t>
  </si>
  <si>
    <t>TSGF SpA</t>
  </si>
  <si>
    <t>20_171_OA04</t>
  </si>
  <si>
    <t>Tendido segundo circuito Línea 2x220 kV Nueva Chuquicamata - Calama</t>
  </si>
  <si>
    <t>20_171_OA05</t>
  </si>
  <si>
    <t>Ampliación en S/E Don Goyo, Seccionamiento Línea Nueva Pan de Azúcar - Punta Sierra y Bypass Línea 2x220 kV Pan de Azúcar - La Cebada</t>
  </si>
  <si>
    <t>Parque Eólico El Arrayán</t>
  </si>
  <si>
    <t>20_171_OA_G02</t>
  </si>
  <si>
    <t>20_171_OA_SG02</t>
  </si>
  <si>
    <t>20_171_OA07</t>
  </si>
  <si>
    <t>Aumento de capacidad Línea 2x220 kV La Cebada - Punta Sierra</t>
  </si>
  <si>
    <t>20_171_OA08</t>
  </si>
  <si>
    <t>Aumento de capacidad Línea 1x110 kV Quillota - Marbella</t>
  </si>
  <si>
    <t>20_171_OA_G03</t>
  </si>
  <si>
    <t>20_171_OA09</t>
  </si>
  <si>
    <t>Ampliación en S/E Quilpué (RTR ATMT)</t>
  </si>
  <si>
    <t>20_171_OA10</t>
  </si>
  <si>
    <t>Ampliación en S/E Las Balandras (HTR ATMT)</t>
  </si>
  <si>
    <t>Compañía Eléctrica del Litoral S.A.</t>
  </si>
  <si>
    <t>20_171_OA11</t>
  </si>
  <si>
    <t>Habilitación segundo circuito Línea 2x110 kV San Pedro - Quillota</t>
  </si>
  <si>
    <t>Compañía Transmisora del Norte Grande S.A.</t>
  </si>
  <si>
    <t>20_171_OA12</t>
  </si>
  <si>
    <t>Ampliación en S/E Nueva San Rafael 110 kV (2BP+BT)</t>
  </si>
  <si>
    <t>20_171_OA_G04</t>
  </si>
  <si>
    <t>20_171_OA13</t>
  </si>
  <si>
    <t>Ampliación en S/E Nueva San Rafael (NTR ATMT)</t>
  </si>
  <si>
    <t>20_171_OA14</t>
  </si>
  <si>
    <t>Aumento de Capacidad Línea 1x110 kV Las Vegas – Esperanza</t>
  </si>
  <si>
    <t>20_171_OA_G05</t>
  </si>
  <si>
    <t>20_171_OA15</t>
  </si>
  <si>
    <t>Aumento de Capacidad Línea 2x110 kV Esperanza – Río Aconcagua</t>
  </si>
  <si>
    <t>20_171_OA16</t>
  </si>
  <si>
    <t>Cambio Interruptor Paño Acoplador en S/E Alto Jahuel 110 kV</t>
  </si>
  <si>
    <t>20_171_OA_G06</t>
  </si>
  <si>
    <t>20_171_OA17</t>
  </si>
  <si>
    <t>Cambio Interruptores Línea 2x220 kV Alto Jahuel – Chena en S/E Alto Jahuel</t>
  </si>
  <si>
    <t>20_171_OA18</t>
  </si>
  <si>
    <t>Ampliación en S/E Apoquindo (NTR ATMT)</t>
  </si>
  <si>
    <t>Enel Distribución Chile S.A.</t>
  </si>
  <si>
    <t>20_171_OA_G07</t>
  </si>
  <si>
    <t>20_171_OA_SG03</t>
  </si>
  <si>
    <t>20_171_OA19</t>
  </si>
  <si>
    <t>Ampliación en S/E La Reina (RTR ATMT)</t>
  </si>
  <si>
    <t>20_171_OA20</t>
  </si>
  <si>
    <t>Ampliación en S/E Nueva Lampa (NTR ATMT)</t>
  </si>
  <si>
    <t>20_171_OA_SG04</t>
  </si>
  <si>
    <t>20_171_OA21</t>
  </si>
  <si>
    <t>Ampliación en S/E Batuco (NTR ATMT)</t>
  </si>
  <si>
    <t>20_171_OA22</t>
  </si>
  <si>
    <t>Ampliación en S/E Curacaví (NTR ATMT)</t>
  </si>
  <si>
    <t>20_171_OA_SG05</t>
  </si>
  <si>
    <t>20_171_OA23</t>
  </si>
  <si>
    <t>Ampliación en S/E Lo Aguirre (NTR ATMT)</t>
  </si>
  <si>
    <t>20_171_OA24</t>
  </si>
  <si>
    <t>Ampliación en S/E Santa Marta</t>
  </si>
  <si>
    <t>20_171_OA25</t>
  </si>
  <si>
    <t>Ampliación en S/E Chumaquito y Seccionamiento Línea 1x66 kV Rancagua – Rosario</t>
  </si>
  <si>
    <t>20_171_OA_G09</t>
  </si>
  <si>
    <t>20_171_OA26</t>
  </si>
  <si>
    <t>Ampliación en S/E Pelequén (NTR ATMT)</t>
  </si>
  <si>
    <t>20_171_OA_SG06</t>
  </si>
  <si>
    <t>20_171_OA27</t>
  </si>
  <si>
    <t>Ampliación en S/E San Miguel (NTR ATMT)</t>
  </si>
  <si>
    <t>20_171_OA_G10</t>
  </si>
  <si>
    <t>20_171_OA_SG07</t>
  </si>
  <si>
    <t>20_171_OA28</t>
  </si>
  <si>
    <t>Ampliación en S/E Parral (NTR ATMT)</t>
  </si>
  <si>
    <t>20_171_OA_SG08</t>
  </si>
  <si>
    <t>20_171_OA29</t>
  </si>
  <si>
    <t>Ampliación en S/E Santa Elvira (NTR ATMT)</t>
  </si>
  <si>
    <t>Consorcio Monlux Chile S.A- RC Ingenieros</t>
  </si>
  <si>
    <t>20_171_OA_G11</t>
  </si>
  <si>
    <t>20_171_OA30</t>
  </si>
  <si>
    <t>Ampliación en S/E Penco (RTR ATMT)</t>
  </si>
  <si>
    <t>Consorcio Monlux Chile - Constructora RC Ingenieros Limitada</t>
  </si>
  <si>
    <t>20_171_OA_SG09</t>
  </si>
  <si>
    <t>20_171_OA31</t>
  </si>
  <si>
    <t>Ampliación en S/E Chiguayante (NTR ATMT)</t>
  </si>
  <si>
    <t>20_171_OA32</t>
  </si>
  <si>
    <t>Ampliación en S/E Laja (RTR ATMT)</t>
  </si>
  <si>
    <t>20_171_OA33</t>
  </si>
  <si>
    <t>Aumento de capacidad Línea 1x220 kV Charrúa - Temuco</t>
  </si>
  <si>
    <t>20_171_OA_G12</t>
  </si>
  <si>
    <t>20_171_OA34</t>
  </si>
  <si>
    <t>Ampliación en S/E Mulchén y Seccionamiento Línea 1x220 kV Charrúa - Temuco</t>
  </si>
  <si>
    <t>20_171_OA35</t>
  </si>
  <si>
    <t>Ampliación en S/E Traiguén (RTR ATMT)</t>
  </si>
  <si>
    <t>20_171_OA_G13</t>
  </si>
  <si>
    <t>20_171_OA36</t>
  </si>
  <si>
    <t>Ampliación en S/E Temuco (BPS+BT)</t>
  </si>
  <si>
    <t>20_171_OA_SG10</t>
  </si>
  <si>
    <t>20_171_OA37</t>
  </si>
  <si>
    <t>Cambio Interruptor Paño Acoplador en S/E Temuco 66 kV</t>
  </si>
  <si>
    <t>20_171_OA38</t>
  </si>
  <si>
    <t>Ampliación en S/E Temuco (NTR ATMT)</t>
  </si>
  <si>
    <t>20_171_OA39</t>
  </si>
  <si>
    <t>Ampliación en S/E Pucón (NBC AT)</t>
  </si>
  <si>
    <t>20_171_OA40</t>
  </si>
  <si>
    <t>Ampliación en S/E Los Tambores (NTR ATMT)</t>
  </si>
  <si>
    <t>Consorcio Efacec Engenharia e Sistemas S.A – Efacec Engenharia e Sistemas Chile.</t>
  </si>
  <si>
    <t>20_171_OA_G14</t>
  </si>
  <si>
    <t>20_171_OA41</t>
  </si>
  <si>
    <t>Ampliación en S/E Rahue 220 kV (BPS+BT)</t>
  </si>
  <si>
    <t>20_171_OA42</t>
  </si>
  <si>
    <t>Ampliación en S/E Alto Bonito (NTR ATMT)</t>
  </si>
  <si>
    <t>20_171_OA43</t>
  </si>
  <si>
    <t>Ampliación en S/E Puerto Varas (NTR ATMT)</t>
  </si>
  <si>
    <t>20_171_OA_SG11</t>
  </si>
  <si>
    <t>20_171_OA44</t>
  </si>
  <si>
    <t>Ampliación en S/E Chiloé y Tendido segundo circuito Línea 2x220 kV Nueva Ancud - Chiloé</t>
  </si>
  <si>
    <t>20_171_OA45</t>
  </si>
  <si>
    <t>Ampliación en S/E Castro (NTR ATMT)</t>
  </si>
  <si>
    <t>20_171_OA46</t>
  </si>
  <si>
    <t>Ampliación en S/E Maitencillo 110 kV (BPS+BT)</t>
  </si>
  <si>
    <t>20_185-171_OC_G01</t>
  </si>
  <si>
    <t>20_171_OC_01</t>
  </si>
  <si>
    <t>Aumento de capacidad Línea 2x220 kV Alto Jahuel – Baja Cordillera</t>
  </si>
  <si>
    <t>20_185-171_OC_G02</t>
  </si>
  <si>
    <t>20_171_OC_02</t>
  </si>
  <si>
    <t>Ampliación en S/E Alcones y Habilitación paño Línea 1x66 kV Marchigüe - Alcones en S/E Alcones</t>
  </si>
  <si>
    <t>20_185-171_OC_G04</t>
  </si>
  <si>
    <t>20_171_OC_03</t>
  </si>
  <si>
    <t>Ampliación en S/E Angol (BS)</t>
  </si>
  <si>
    <t>20_171_OC_04</t>
  </si>
  <si>
    <t>Ampliación en S/E Vallenar (NTR ATMT)</t>
  </si>
  <si>
    <t>20_171_OC_05</t>
  </si>
  <si>
    <t>2020-185</t>
  </si>
  <si>
    <t>Nuevo Equipo de Compensación Reactiva (NCER AT)</t>
  </si>
  <si>
    <t>0</t>
  </si>
  <si>
    <t>20_185_ON_01</t>
  </si>
  <si>
    <t>Nueva Línea 1x110 kV Maitencillo - Vallenar</t>
  </si>
  <si>
    <t>20_185_ON_02</t>
  </si>
  <si>
    <t>Nueva S/E La Ligua</t>
  </si>
  <si>
    <t>20_185_ON_03</t>
  </si>
  <si>
    <t>Nueva S/E Seccionadora Los Poetas y Nueva Línea 1x66 kV Algarrobo - Los Poetas</t>
  </si>
  <si>
    <t>Compañia Transmisora del Norte Grande</t>
  </si>
  <si>
    <t>20_185_ON_04</t>
  </si>
  <si>
    <t>Nueva S/E Seccionadora Baja Cordillera</t>
  </si>
  <si>
    <t>20_185_ON_05</t>
  </si>
  <si>
    <t>Nueva S/E El Ruil</t>
  </si>
  <si>
    <t>20_185_ON_06</t>
  </si>
  <si>
    <t>Nueva S/E Seccionadora Epuleufu</t>
  </si>
  <si>
    <t>20_185-171_OC_G03</t>
  </si>
  <si>
    <t>20_185_ON_07</t>
  </si>
  <si>
    <t>Interregional Araucanía Los Lagos</t>
  </si>
  <si>
    <t>Nueva Línea 1x66 kV Angol – Epuleufu</t>
  </si>
  <si>
    <t>20_185_ON_08</t>
  </si>
  <si>
    <t>Nueva Línea 1x66 kV Portezuelo - Alcones</t>
  </si>
  <si>
    <t>20_185_ON_09</t>
  </si>
  <si>
    <t>Total</t>
  </si>
  <si>
    <t>17_418_Z_OA_01</t>
  </si>
  <si>
    <t>17_418_Z_OA_02</t>
  </si>
  <si>
    <t>17_418_Z_OA_03</t>
  </si>
  <si>
    <t>17_418_Z_OA_04</t>
  </si>
  <si>
    <t>17_418_Z_OA_05</t>
  </si>
  <si>
    <t>17_418_Z_OA_06</t>
  </si>
  <si>
    <t>17_418_Z_OA_07</t>
  </si>
  <si>
    <t>17_418_Z_OA_08</t>
  </si>
  <si>
    <t>17_418_Z_OA_09</t>
  </si>
  <si>
    <t>17_418_Z_OA_10</t>
  </si>
  <si>
    <t>17_418_Z_OA_11</t>
  </si>
  <si>
    <t>17_418_Z_OA_12</t>
  </si>
  <si>
    <t>17_418_Z_OA_13</t>
  </si>
  <si>
    <t>17_418_Z_OA_14</t>
  </si>
  <si>
    <t>17_418_Z_OA_15</t>
  </si>
  <si>
    <t>17_418_Z_OA_16</t>
  </si>
  <si>
    <t>17_418_Z_OA_17</t>
  </si>
  <si>
    <t>17_418_Z_OA_18</t>
  </si>
  <si>
    <t>17_418_Z_OA_19</t>
  </si>
  <si>
    <t>17_418_Z_OA_20</t>
  </si>
  <si>
    <t>17_418_Z_OA_21</t>
  </si>
  <si>
    <t>17_418_Z_OA_22</t>
  </si>
  <si>
    <t>17_418_Z_OA_23</t>
  </si>
  <si>
    <t>17_418_Z_OA_24</t>
  </si>
  <si>
    <t>17_418_Z_OA_25</t>
  </si>
  <si>
    <t>17_418_Z_OA_26</t>
  </si>
  <si>
    <t>17_418_Z_OA_27</t>
  </si>
  <si>
    <t>17_418_Z_OA_28</t>
  </si>
  <si>
    <t>17_418_Z_OA_29</t>
  </si>
  <si>
    <t>17_418_Z_OA_30</t>
  </si>
  <si>
    <t>17_418_Z_OA_33</t>
  </si>
  <si>
    <t>17_418_Z_OA_34</t>
  </si>
  <si>
    <t>17_418_Z_OA_36</t>
  </si>
  <si>
    <t>17_418_Z_OA_37</t>
  </si>
  <si>
    <t>17_418_Z_OA_38</t>
  </si>
  <si>
    <t>17_418_Z_OA_39</t>
  </si>
  <si>
    <t>17_418_Z_OA_40</t>
  </si>
  <si>
    <t>17_418_Z_OA_41</t>
  </si>
  <si>
    <t>17_418_Z_OA_42</t>
  </si>
  <si>
    <t>17_418_Z_OA_43</t>
  </si>
  <si>
    <t>17_418_Z_OA_44</t>
  </si>
  <si>
    <t>17_418_Z_OA_45</t>
  </si>
  <si>
    <t>17_418_Z_OA_46</t>
  </si>
  <si>
    <t>17_418_Z_OA_47</t>
  </si>
  <si>
    <t>17_418_Z_OA_48</t>
  </si>
  <si>
    <t>17_418_Z_OA_49</t>
  </si>
  <si>
    <t>17_418_Z_OA_50</t>
  </si>
  <si>
    <t>17_418_Z_OA_51</t>
  </si>
  <si>
    <t>17_418_Z_OA_52</t>
  </si>
  <si>
    <t>17_418_Z_OA_53</t>
  </si>
  <si>
    <t>17_418_Z_OA_54</t>
  </si>
  <si>
    <t>17_418_Z_OA_55</t>
  </si>
  <si>
    <t>17_418_Z_OA_56</t>
  </si>
  <si>
    <t>17_418_Z_OA_57</t>
  </si>
  <si>
    <t>17_418_Z_OA_58</t>
  </si>
  <si>
    <t>17_418_Z_OA_59</t>
  </si>
  <si>
    <t>17_418_Z_OA_60</t>
  </si>
  <si>
    <t>17_418_Z_OA_61</t>
  </si>
  <si>
    <t>17_418_Z_OA_62</t>
  </si>
  <si>
    <t>17_418_Z_OA_63</t>
  </si>
  <si>
    <t>17_418_Z_OA_64</t>
  </si>
  <si>
    <t>17_418_Z_OA_65</t>
  </si>
  <si>
    <t>17_418_Z_OA_66</t>
  </si>
  <si>
    <t>17_418_Z_OA_67</t>
  </si>
  <si>
    <t>17_418_Z_OA_31</t>
  </si>
  <si>
    <t>17_418_Z_OA_32</t>
  </si>
  <si>
    <t>17_418_Z_OA_35</t>
  </si>
  <si>
    <t>Aumento de capacidad de transmisión en línea 1x66KV El Maitén - El Paico - El Monte</t>
  </si>
  <si>
    <t>Ampliación en S/E Altamirano</t>
  </si>
  <si>
    <t>Ampliación en S/E Macul</t>
  </si>
  <si>
    <t>Ampliación en S/E Dehesa</t>
  </si>
  <si>
    <t>Seccionamiento en S/E Pirque</t>
  </si>
  <si>
    <t>Ampliación en S/E Pirque</t>
  </si>
  <si>
    <t>Ampliación en S/E Pudahuel</t>
  </si>
  <si>
    <t>Ampliación en S/E Cerro Navia</t>
  </si>
  <si>
    <t>Ampliación en S/E La Esperanza</t>
  </si>
  <si>
    <t>Ampliación en S/E Alcones</t>
  </si>
  <si>
    <t>Ampliación en S/E Nancahua</t>
  </si>
  <si>
    <t>Ampliación en S/E Paniahue</t>
  </si>
  <si>
    <t>Ampliación en S/E Alameda</t>
  </si>
  <si>
    <t>Ampliación en S/E Graneros</t>
  </si>
  <si>
    <t>Ampliación en S/E Punta de cortés</t>
  </si>
  <si>
    <t>Ampliación en S/E La Palma</t>
  </si>
  <si>
    <t>Ampliación en S/E San Javier</t>
  </si>
  <si>
    <t>Ampliación en S/E Cauquenes</t>
  </si>
  <si>
    <t>Ampliación en S/E Maule</t>
  </si>
  <si>
    <t>Aumento de capacidad de transmisión en línea 2x66 kV Maule - Talca</t>
  </si>
  <si>
    <t>Ampliación en S/E Itahue</t>
  </si>
  <si>
    <t>Seccionamiento en S/E Tap Linares Norte</t>
  </si>
  <si>
    <t>Ampliación en S/E Linares Norte</t>
  </si>
  <si>
    <t>Seccionamiento en S/E Panimávida</t>
  </si>
  <si>
    <t>Ampliación en S/E Panimávida</t>
  </si>
  <si>
    <t>Ampliación en S/E San Carlos</t>
  </si>
  <si>
    <t>Ampliación en S/E Parral</t>
  </si>
  <si>
    <t>Aumento de capacidad de transformación en S/E Longaví</t>
  </si>
  <si>
    <t>Seccionamiento en S/E San Gregorio</t>
  </si>
  <si>
    <t>Ampliación en S/E San Gregorio</t>
  </si>
  <si>
    <t>Ampliación en S/E Avellano</t>
  </si>
  <si>
    <t>Aumento de capacidad en S/E San Pedro</t>
  </si>
  <si>
    <t>Ampliación en S/E Mahns</t>
  </si>
  <si>
    <t>Ampliación en S/E Tomé</t>
  </si>
  <si>
    <t>Ampliación en S/E Chiguayante</t>
  </si>
  <si>
    <t>Ampliación en S/E Ejercito</t>
  </si>
  <si>
    <t>Ampliación en S/E Pitrufquén</t>
  </si>
  <si>
    <t>Ampliación en S/E Curacautín</t>
  </si>
  <si>
    <t>Ampliación en S/E Collipulli</t>
  </si>
  <si>
    <t>Ampliación en S/E Padre las Casas</t>
  </si>
  <si>
    <t>Ampliación en S/E Nueva Valdivia</t>
  </si>
  <si>
    <t>FECHA DE ADJUDICACIÓN</t>
  </si>
  <si>
    <t>ADJUDICADA</t>
  </si>
  <si>
    <t>DESIERTA - SIN OFERTAS</t>
  </si>
  <si>
    <t>CALIFICA</t>
  </si>
  <si>
    <t>DESIERTA - POR VMAX</t>
  </si>
  <si>
    <t>NO ADJUDICADA POR VMAX</t>
  </si>
  <si>
    <t>NO ADJUDICADA  - NO ES lA MAS ECO.</t>
  </si>
  <si>
    <t>NO ADJUDICADA POR ADM</t>
  </si>
  <si>
    <t>DESIERTA - POR OF.ADM</t>
  </si>
  <si>
    <t>DESIERTA - POR OF.TEC</t>
  </si>
  <si>
    <t>2_PROCESO_OA_18</t>
  </si>
  <si>
    <t>ABENGOA Chile S.A.</t>
  </si>
  <si>
    <t>CHINA CAMC ENGINEERING CO.LTD</t>
  </si>
  <si>
    <t>COBRA MONTAJES SERVICIOS Y AGUA LTDA.</t>
  </si>
  <si>
    <t>ELECTRICAS DE MEDELLÍN</t>
  </si>
  <si>
    <t>EMELTA S.A.</t>
  </si>
  <si>
    <t>HMV CHILE</t>
  </si>
  <si>
    <t>INGESAT S.A.</t>
  </si>
  <si>
    <t>MONLUX</t>
  </si>
  <si>
    <t>NARI GROUP CORPORATION</t>
  </si>
  <si>
    <t>SERVILAND LTDA.</t>
  </si>
  <si>
    <t>NO CALIFICA</t>
  </si>
  <si>
    <t>17_418_Z_RL_OA29</t>
  </si>
  <si>
    <t>17_418_Z_RL_OA31</t>
  </si>
  <si>
    <t>17_418_Z_RL_OA32</t>
  </si>
  <si>
    <t>17_418_Z_RL_OA33</t>
  </si>
  <si>
    <t>17_418_Z_RL_OA34</t>
  </si>
  <si>
    <t>17_418_Z_RL_OA35</t>
  </si>
  <si>
    <t>17_418_Z_RL_OA54</t>
  </si>
  <si>
    <t>17_418_Z_RL_OA62</t>
  </si>
  <si>
    <t>17_418_Z_RL_OA63</t>
  </si>
  <si>
    <t>17_418_Z_RL_OA64</t>
  </si>
  <si>
    <t>17_418_Z_RL_OA65</t>
  </si>
  <si>
    <t>17_418_Z_RL_OA66</t>
  </si>
  <si>
    <t>Cobra Montajes Servicios y Agua Limitada</t>
  </si>
  <si>
    <t>NACIONAL</t>
  </si>
  <si>
    <t>Candelaria</t>
  </si>
  <si>
    <t>Lagunas</t>
  </si>
  <si>
    <t>S/E + LT</t>
  </si>
  <si>
    <t>3_PROCESO_OA_19</t>
  </si>
  <si>
    <t>NO LICITADA POR MODF. DECRETO</t>
  </si>
  <si>
    <t>ABB S.A.</t>
  </si>
  <si>
    <t>ANDALUZA DE MONTAJES ELÉCTRICOS Y TELEFÓNICOS S.A. AGENCIA EN CHILE</t>
  </si>
  <si>
    <t>B. BOSCH S.A.</t>
  </si>
  <si>
    <t>CAVCO</t>
  </si>
  <si>
    <t>CHINQUILTA ENERGÍA S.A.</t>
  </si>
  <si>
    <t>CHINT ELECTRIC CO.,LTD</t>
  </si>
  <si>
    <t>EBCO LÍNEAS SPA</t>
  </si>
  <si>
    <t>EFACEC ENGENHARIA SISTEMAS S.A.</t>
  </si>
  <si>
    <t>NARI TECHNOLOGIES CO. LTD</t>
  </si>
  <si>
    <t>SIEMENS S.A.</t>
  </si>
  <si>
    <t>VI Máx [reserva]</t>
  </si>
  <si>
    <t>CONSORCIO ABB-EMELTA</t>
  </si>
  <si>
    <t>CONSORCIO ABB-VAIS</t>
  </si>
  <si>
    <t>CONSORCIO UNION ELECTRICA</t>
  </si>
  <si>
    <t>HMV CHILE S.A.</t>
  </si>
  <si>
    <t>CONSORCIO COBRA</t>
  </si>
  <si>
    <t>CONSORCIO GE-EBCO</t>
  </si>
  <si>
    <t>GRID SOLUTIONS CHILE S.A.</t>
  </si>
  <si>
    <t>NARI TECHNOLOGY CO. LTD</t>
  </si>
  <si>
    <t>EFACEC ENGENHARIA E SISTEMMAS S.A.</t>
  </si>
  <si>
    <t>PINE SPA</t>
  </si>
  <si>
    <t>CHILQUINTA ENERGÍA S.A.</t>
  </si>
  <si>
    <t>CAVALLA CONSTRUCCIONES Y MONTAJES INDUSTRIALES</t>
  </si>
  <si>
    <t>ABB CHILE</t>
  </si>
  <si>
    <t>CHINT ELECTRIC CO. LTD</t>
  </si>
  <si>
    <t>2_PROCESO_ON_19</t>
  </si>
  <si>
    <t>RED ELÉCTRICA CHILE SPA</t>
  </si>
  <si>
    <t>COLBÚN TRANSMISIÓN S.A.</t>
  </si>
  <si>
    <t>TRANSELEC HOLDING RENTAS LTDA</t>
  </si>
  <si>
    <t>TRANSELEC</t>
  </si>
  <si>
    <t>CELEO REDES S.L.</t>
  </si>
  <si>
    <t>INTERCONEXIÓN ELÉCTRICA S.A. - ISA</t>
  </si>
  <si>
    <t>EMPRESA ELÉCTRICA DEL NORTE GRANDE S.A.</t>
  </si>
  <si>
    <t>FERROVIAL</t>
  </si>
  <si>
    <t>BESALCO S.A.</t>
  </si>
  <si>
    <t>SOCIEDAD AUSTRAL DE ELÉCTRICIDAD S.A.</t>
  </si>
  <si>
    <t>ENGIE</t>
  </si>
  <si>
    <t>CONSORCIO EETX</t>
  </si>
  <si>
    <t>3_PROCESO_ON_19</t>
  </si>
  <si>
    <t>SG05</t>
  </si>
  <si>
    <t>SG06</t>
  </si>
  <si>
    <t>TRANSELEC S.A. CON B.BOSCH S.A. E INPROLEC S.A.</t>
  </si>
  <si>
    <t>SOCIEDAD AUSTRAL DE ELÉCTRICIDAD S.A. CON EFACEC ENGENHARIA E SISTEMAS S.A. Y ELECNOR CHILE S.A.</t>
  </si>
  <si>
    <t xml:space="preserve">CONSORCIO COBRA </t>
  </si>
  <si>
    <t>VATT Máx [RESERVA]</t>
  </si>
  <si>
    <t>15T-2020</t>
  </si>
  <si>
    <t>Alias</t>
  </si>
  <si>
    <t xml:space="preserve">Razon social </t>
  </si>
  <si>
    <t>RUT</t>
  </si>
  <si>
    <t>Contacto 1 Tel</t>
  </si>
  <si>
    <t>Contacto 2 Tel</t>
  </si>
  <si>
    <t>Dirección</t>
  </si>
  <si>
    <t>Tipo</t>
  </si>
  <si>
    <t>Registro Proponentes</t>
  </si>
  <si>
    <t>Transmisor</t>
  </si>
  <si>
    <t>Contructor</t>
  </si>
  <si>
    <t>Proveedor</t>
  </si>
  <si>
    <t>ID Proceso</t>
  </si>
  <si>
    <t>Estado 2</t>
  </si>
  <si>
    <t>Nombre de Obra</t>
  </si>
  <si>
    <t>Tipo de Obtas</t>
  </si>
  <si>
    <t>PROP_20</t>
  </si>
  <si>
    <t>Estado 1</t>
  </si>
  <si>
    <t>PROP_21</t>
  </si>
  <si>
    <t xml:space="preserve"> </t>
  </si>
  <si>
    <t>Grupo</t>
  </si>
  <si>
    <t>Subgrupo</t>
  </si>
  <si>
    <t>ID_GRUPO</t>
  </si>
  <si>
    <t>ID_SUBGRUPO</t>
  </si>
  <si>
    <t>ID_PROPONENTE</t>
  </si>
  <si>
    <t>PROP_22</t>
  </si>
  <si>
    <t>PROP_23</t>
  </si>
  <si>
    <t>PROP_24</t>
  </si>
  <si>
    <t>PROP_25</t>
  </si>
  <si>
    <t>PROP_26</t>
  </si>
  <si>
    <t>PROP_27</t>
  </si>
  <si>
    <t>PROP_28</t>
  </si>
  <si>
    <t>PROP_29</t>
  </si>
  <si>
    <t>PROP_30</t>
  </si>
  <si>
    <t>PROP_31</t>
  </si>
  <si>
    <t>PROP_32</t>
  </si>
  <si>
    <t>PROP_33</t>
  </si>
  <si>
    <t>PROP_34</t>
  </si>
  <si>
    <t>PROP_35</t>
  </si>
  <si>
    <t>PROP_36</t>
  </si>
  <si>
    <t>PROP_37</t>
  </si>
  <si>
    <t>PROP_38</t>
  </si>
  <si>
    <t>PROP_39</t>
  </si>
  <si>
    <t>PROP_40</t>
  </si>
  <si>
    <t>PROP_41</t>
  </si>
  <si>
    <t>PROP_42</t>
  </si>
  <si>
    <t>PROP_43</t>
  </si>
  <si>
    <t>PROP_44</t>
  </si>
  <si>
    <t>PROP_45</t>
  </si>
  <si>
    <t>PROP_46</t>
  </si>
  <si>
    <t>PROP_47</t>
  </si>
  <si>
    <t>PROP_48</t>
  </si>
  <si>
    <t>PROP_49</t>
  </si>
  <si>
    <t>PROP_50</t>
  </si>
  <si>
    <t>PROP_51</t>
  </si>
  <si>
    <t>PROP_52</t>
  </si>
  <si>
    <t>PROP_53</t>
  </si>
  <si>
    <t>PROP_54</t>
  </si>
  <si>
    <t>PROP_55</t>
  </si>
  <si>
    <t>PROP_56</t>
  </si>
  <si>
    <t>PROP_57</t>
  </si>
  <si>
    <t>CHILQUINTA ENERGIA S.A</t>
  </si>
  <si>
    <t>PROP_58</t>
  </si>
  <si>
    <t>PROP_59</t>
  </si>
  <si>
    <t>PROP_60</t>
  </si>
  <si>
    <t>PROP_61</t>
  </si>
  <si>
    <t>PROP_62</t>
  </si>
  <si>
    <t>PROP_63</t>
  </si>
  <si>
    <t>PROP_64</t>
  </si>
  <si>
    <t>PROP_65</t>
  </si>
  <si>
    <t>PROP_66</t>
  </si>
  <si>
    <t>18_293_Z_OAC_06</t>
  </si>
  <si>
    <t>18_293_Z_OAC_07</t>
  </si>
  <si>
    <t>18_293_Z_OAC_08</t>
  </si>
  <si>
    <t>18_293_Z_OA_10</t>
  </si>
  <si>
    <t>18_293_Z_OA_19</t>
  </si>
  <si>
    <t>18_293_Z_OA_20</t>
  </si>
  <si>
    <t>18_293_Z_OA_24</t>
  </si>
  <si>
    <t>18_293_Z_OA_25</t>
  </si>
  <si>
    <t>18_293_Z_OAC_28</t>
  </si>
  <si>
    <t>18_293_Z_OAC_29</t>
  </si>
  <si>
    <t>18_293_Z_OA_33</t>
  </si>
  <si>
    <t/>
  </si>
  <si>
    <t>GRUPO/OBRA</t>
  </si>
  <si>
    <t>18_293_N_OAC_02</t>
  </si>
  <si>
    <t>18_293_N_OA_03</t>
  </si>
  <si>
    <t>18_293_N_OA_04</t>
  </si>
  <si>
    <t>18_293_Z_OA_05</t>
  </si>
  <si>
    <t>18_293_N_OAC_01</t>
  </si>
  <si>
    <t>18_293_Z_OA_09</t>
  </si>
  <si>
    <t>18_293_Z_OA_11</t>
  </si>
  <si>
    <t>18_293_Z_OA_12</t>
  </si>
  <si>
    <t>18_293_Z_OA_13</t>
  </si>
  <si>
    <t>18_293_Z_OAC_14</t>
  </si>
  <si>
    <t>18_293_Z_OA_15</t>
  </si>
  <si>
    <t>18_293_Z_OA_16</t>
  </si>
  <si>
    <t>18_293_Z_OA_17</t>
  </si>
  <si>
    <t>18_293_Z_OA_18</t>
  </si>
  <si>
    <t>18_293_Z_OAC_21</t>
  </si>
  <si>
    <t>18_293_Z_OAC_22</t>
  </si>
  <si>
    <t>18_293_Z_OAC_23</t>
  </si>
  <si>
    <t>18_293_Z_OA_26</t>
  </si>
  <si>
    <t>18_293_Z_OA_27</t>
  </si>
  <si>
    <t>18_293_Z_OA_30</t>
  </si>
  <si>
    <t>18_293_Z_OAC_31</t>
  </si>
  <si>
    <t>18_293_Z_OAC_32</t>
  </si>
  <si>
    <t>AÑO</t>
  </si>
  <si>
    <t>DECRETO</t>
  </si>
  <si>
    <t>ID_OBRA</t>
  </si>
  <si>
    <t>Nombre Obra</t>
  </si>
  <si>
    <t>Plazo constructivo</t>
  </si>
  <si>
    <t>418 - Ampliación en S/E Parinacota</t>
  </si>
  <si>
    <t>418 - Ampliación en S/E Cóndores</t>
  </si>
  <si>
    <t>418 - Ampliación en S/E Calama</t>
  </si>
  <si>
    <t>418 - Ampliación en S/E Quiani</t>
  </si>
  <si>
    <t xml:space="preserve">418 - Ampliación en S/E Capricornio </t>
  </si>
  <si>
    <t>418 - Ampliación en S/E Copayapu</t>
  </si>
  <si>
    <t>418 - Ampliación en S/E San Joaquín</t>
  </si>
  <si>
    <t>418 - Ampliación en S/E Combarbalá</t>
  </si>
  <si>
    <t>418 - Aumento de capacidad de línea 1x110kV Maitencillo - Algarrobo</t>
  </si>
  <si>
    <t xml:space="preserve">418 - Doble Barra Tap Algarrobo </t>
  </si>
  <si>
    <t>418 - Ampliación en S/E Agua Santa</t>
  </si>
  <si>
    <t>418 - Ampliación en S/E Bosquemar</t>
  </si>
  <si>
    <t xml:space="preserve">418 - Ampliación en S/E Placilla </t>
  </si>
  <si>
    <t>418 - Ampliación en S/E San Antonio</t>
  </si>
  <si>
    <t>418 - Ampliación en S/E Alto Melipilla</t>
  </si>
  <si>
    <t>418 - Aumento de capacidad de transmisión en línea 1x66KV El Maitén - El Paico - El Monte</t>
  </si>
  <si>
    <t>418 - Ampliación en S/E Catemu</t>
  </si>
  <si>
    <t>418 - Ampliación en S/E Río Blanco</t>
  </si>
  <si>
    <t>418 - Ampliación en S/E San Felipe</t>
  </si>
  <si>
    <t>418 - Ampliación en S/E Altamirano</t>
  </si>
  <si>
    <t>418 - Ampliación en S/E Macul</t>
  </si>
  <si>
    <t>418 - Ampliación en S/E Dehesa</t>
  </si>
  <si>
    <t>418 - Seccionamiento en S/E Pirque</t>
  </si>
  <si>
    <t>418 - Ampliación en S/E Pirque</t>
  </si>
  <si>
    <t>418 - Ampliación en S/E Pudahuel</t>
  </si>
  <si>
    <t>418 - Ampliación en S/E Cerro Navia</t>
  </si>
  <si>
    <t>418 - MODIFICACIÓN DE PAÑOS DE CONEXIÓN DE LÍNEA 2x110 KV LAS VEGAS –
CERRO NAVIA EN NUEVO PATIO “GIS” 110 KV S/E CERRO NAVIA 110 KV.</t>
  </si>
  <si>
    <t>418 - MODIFICACIÓN DE CONEXIÓN DE PAÑOS DE TRANSFORMACIÓN “TR5” Y UN
NUEVO BANCO EN NUEVO PATIO “GIS” 110 KV S/E CERRO NAVIA 110 KV.</t>
  </si>
  <si>
    <t>418 - Ampliación en S/E La Esperanza</t>
  </si>
  <si>
    <t>418 - Ampliación en S/E Alcones</t>
  </si>
  <si>
    <t>418 - Ampliación en S/E Nancahua</t>
  </si>
  <si>
    <t>418 - Ampliación en S/E Paniahue</t>
  </si>
  <si>
    <t>418 - Ampliación en S/E Alameda</t>
  </si>
  <si>
    <t>418 - Ampliación en S/E Graneros</t>
  </si>
  <si>
    <t>418 - Ampliación en S/E San Vicente de Tagua Tagua</t>
  </si>
  <si>
    <t>418 - Ampliación en S/E Punta de cortés</t>
  </si>
  <si>
    <t>418 - Seccionamiento en Línea 2x154 kV Alto Jahuel - Tinguiririca en S/E Punta de Cortés</t>
  </si>
  <si>
    <t>418 - Ampliación en S/E La Palma</t>
  </si>
  <si>
    <t>418 - Ampliación en S/E San Javier</t>
  </si>
  <si>
    <t>418 - Ampliación en S/E Constitución</t>
  </si>
  <si>
    <t>418 - Ampliación en S/E Cauquenes</t>
  </si>
  <si>
    <t>418 - Ampliación en S/E Maule</t>
  </si>
  <si>
    <t>418 - Aumento de capacidad de transmisión en línea 2x66 kV Maule - Talca</t>
  </si>
  <si>
    <t>418 - Ampliación en S/E Itahue</t>
  </si>
  <si>
    <t>418 - Seccionamiento en S/E Tap Linares Norte</t>
  </si>
  <si>
    <t>418 - Ampliación en S/E Linares Norte</t>
  </si>
  <si>
    <t>418 - Seccionamiento en S/E Panimávida</t>
  </si>
  <si>
    <t>418 - Ampliación en S/E Panimávida</t>
  </si>
  <si>
    <t>418 - Ampliación en S/E San Carlos</t>
  </si>
  <si>
    <t>418 - Ampliación en S/E Parral</t>
  </si>
  <si>
    <t>418 - Aumento de capacidad de transformación en S/E Longaví</t>
  </si>
  <si>
    <t>418 - Seccionamiento en S/E San Gregorio</t>
  </si>
  <si>
    <t>418 - Ampliación en S/E San Gregorio</t>
  </si>
  <si>
    <t>418 - Ampliación en S/E Avellano</t>
  </si>
  <si>
    <t>418 - Cambio circuitos 1x154 kV Charrua - Tap Chillan y 1x154 kV Charrúa - Monterrico</t>
  </si>
  <si>
    <t>418 - Ampliación en S/E Monterrico</t>
  </si>
  <si>
    <t>418 - Aumento de capacidad en S/E San Pedro</t>
  </si>
  <si>
    <t>418 - Ampliación en S/E Mahns</t>
  </si>
  <si>
    <t>418 - Ampliación en S/E Tomé</t>
  </si>
  <si>
    <t>418 - Ampliación en S/E Chiguayante</t>
  </si>
  <si>
    <t>418 - Ampliación en S/E Ejercito</t>
  </si>
  <si>
    <t>418 - Ampliación en S/E Pitrufquén</t>
  </si>
  <si>
    <t>418 - Ampliación en S/E Curacautín</t>
  </si>
  <si>
    <t>418 - Ampliación en S/E Collipulli</t>
  </si>
  <si>
    <t>418 - Ampliación en S/E Lautaro</t>
  </si>
  <si>
    <t>418 - Ampliación en S/E Padre las Casas</t>
  </si>
  <si>
    <t>418 - Ampliación en S/E Nueva Valdivia</t>
  </si>
  <si>
    <t>293 - Ampliación en S/E Lagunas</t>
  </si>
  <si>
    <t>293 - Ampliación en S/E Caldera</t>
  </si>
  <si>
    <t>293 - Aumento de Capacidad de Línea 2x220 kV Nueva Puerto Montt - Puerto Montt y Ampliación en S/E Nueva Puerto Montt</t>
  </si>
  <si>
    <t>293 - Aumento de Capacidad de Línea 2x220 kV Ciruelos - Cautín</t>
  </si>
  <si>
    <t>293 - Doble vinculación Transformador N°1 220/110 kV en S/E Cardones</t>
  </si>
  <si>
    <t>293 - Ampliación en S/E Cerrillos</t>
  </si>
  <si>
    <t>293 - Ampliación en S/E Atacama Kozán</t>
  </si>
  <si>
    <t>293 - Ampliación en S/E Candelaria</t>
  </si>
  <si>
    <t>293 - Ampliación en S/E Plantas</t>
  </si>
  <si>
    <t>293 - Nuevo Transformador en S/E Illapel</t>
  </si>
  <si>
    <t>293 - Nueva S/E Móvil Región de Valparaíso</t>
  </si>
  <si>
    <t>293 - Tendido segundo circuito Línea 2x110 kV Agua Santa - Placilla</t>
  </si>
  <si>
    <t>293 - Aumento de Capacidad Línea 2x110 kV Aconcagua – Esperanza, Segmento entre S/E Río Aconcagua y S/E Panquehue</t>
  </si>
  <si>
    <t>293 - Ampliación en S/E Catemu</t>
  </si>
  <si>
    <t>293 - Nuevo Transformador en S/E La Calera</t>
  </si>
  <si>
    <t>293 - Extensión de Línea 1x66 kV Las Piñatas – San Jerónimo</t>
  </si>
  <si>
    <t>293 - Adecuaciones en S/E El Salto</t>
  </si>
  <si>
    <t>293 - Aumento de Capacidad en S/E Colchagua</t>
  </si>
  <si>
    <t>293 - Aumento de Capacidad en S/E Piduco</t>
  </si>
  <si>
    <t>293 - Aumento de Capacidad en S/E El Monte</t>
  </si>
  <si>
    <t>293 - Ampliación Línea 2x220 kV Punta de Cortés - Tuniche: Incorporación de paños de línea</t>
  </si>
  <si>
    <t>293 - Nuevo Transformador en S/E Punta de Cortés</t>
  </si>
  <si>
    <t>293 - Ampliación en S/E Punta de Cortés para interconexión de Línea 2x220 kV Punta de Cortés - Tuniche</t>
  </si>
  <si>
    <t>293 - Aumento de Capacidad de línea 1x66 kV Rosario - San Fernando, Segmento Tap Rengo - Pelequén</t>
  </si>
  <si>
    <t>293 - Aumento de Capacidad de Línea 1x66 kV Pelequén - Malloa</t>
  </si>
  <si>
    <t>293 - Nueva S/E Móvil Región del Maule</t>
  </si>
  <si>
    <t>293 - Nueva S/E Móvil Región del Biobío y Región de la Araucanía</t>
  </si>
  <si>
    <t>293 - Ampliación en S/E El Manzano</t>
  </si>
  <si>
    <t>293 - Ampliación S/E La Esperanza</t>
  </si>
  <si>
    <t>293 - Ampliación en S/E Negrete</t>
  </si>
  <si>
    <t>293 - Ampliación en S/E Laja</t>
  </si>
  <si>
    <t>293 - Ampliación en S/E Celulosa Laja</t>
  </si>
  <si>
    <t>293 - Aumento de Capacidad Línea 1x66 kV Chacahuín - Linares</t>
  </si>
  <si>
    <t>Region</t>
  </si>
  <si>
    <t>ID_INDIVIDUAL</t>
  </si>
  <si>
    <t>Columna2</t>
  </si>
  <si>
    <t>1_PROC_OA_17_G02</t>
  </si>
  <si>
    <t>1_PROC_OA_17_G03</t>
  </si>
  <si>
    <t>1_PROC_OA_17_G04</t>
  </si>
  <si>
    <t>1_PROC_OA_17_G07</t>
  </si>
  <si>
    <t>1_PROC_OA_17_G08</t>
  </si>
  <si>
    <t>1_PROC_OA_17_G09</t>
  </si>
  <si>
    <t>1_PROC_OA_17_G10</t>
  </si>
  <si>
    <t>1_PROC_OA_17_G11</t>
  </si>
  <si>
    <t>1_PROC_OA_17_G12</t>
  </si>
  <si>
    <t>1_PROC_OA_17_G13</t>
  </si>
  <si>
    <t>1_PROC_OA_17_G14</t>
  </si>
  <si>
    <t>1_PROC_OA_17_G17</t>
  </si>
  <si>
    <t>1_PROC_OA_17_G14_SG02</t>
  </si>
  <si>
    <t>1_PROC_OA_17_G14_SG03</t>
  </si>
  <si>
    <t>3_PROC_OA_19_G03_SG01</t>
  </si>
  <si>
    <t>3_PROC_OA_19_G07_SG03</t>
  </si>
  <si>
    <t>Ultimo Proceso</t>
  </si>
  <si>
    <t>2_PROC_OA_18_G01</t>
  </si>
  <si>
    <t>2_PROC_OA_18_G02</t>
  </si>
  <si>
    <t>2_PROC_OA_18_G03</t>
  </si>
  <si>
    <t>2_PROC_OA_18_G04</t>
  </si>
  <si>
    <t>2_PROC_OA_18_G06</t>
  </si>
  <si>
    <t>2_PROC_OA_18_G07</t>
  </si>
  <si>
    <t>2_PROC_OA_18_G08</t>
  </si>
  <si>
    <t>3_PROC_OA_19_G01</t>
  </si>
  <si>
    <t>3_PROC_OA_19_G02</t>
  </si>
  <si>
    <t>3_PROC_OA_19_G03</t>
  </si>
  <si>
    <t>3_PROC_OA_19_G04</t>
  </si>
  <si>
    <t>3_PROC_OA_19_G05</t>
  </si>
  <si>
    <t>3_PROC_OA_19_G06</t>
  </si>
  <si>
    <t>3_PROC_OA_19_G07</t>
  </si>
  <si>
    <t>3_PROC_OA_19_G08</t>
  </si>
  <si>
    <t>3_PROC_OA_19_G09</t>
  </si>
  <si>
    <t>3_PROC_OA_19_G10</t>
  </si>
  <si>
    <t>3_PROC_OA_19_G11</t>
  </si>
  <si>
    <t>3_PROC_OA_19_G12</t>
  </si>
  <si>
    <t>3_PROC_OA_19_G13</t>
  </si>
  <si>
    <t>3_PROC_ON_19_G01</t>
  </si>
  <si>
    <t>3_PROC_ON_19_G04</t>
  </si>
  <si>
    <t>3_PROC_ON_19_G06</t>
  </si>
  <si>
    <t>2_PROC_OA_18_G05_SG01</t>
  </si>
  <si>
    <t>2_PROC_OA_18_G05_SG02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</si>
</sst>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 &quot;$&quot;* #,##0_ ;_ &quot;$&quot;* \-#,##0_ ;_ &quot;$&quot;* &quot;-&quot;_ ;_ @_ "/>
    <numFmt numFmtId="41" formatCode="_ * #,##0_ ;_ * \-#,##0_ ;_ * &quot;-&quot;_ ;_ @_ "/>
    <numFmt numFmtId="164" formatCode="_ [$USD]\ * #,##0_ ;_ [$USD]\ * \-#,##0_ ;_ [$USD]\ * &quot;-&quot;_ ;_ @_ "/>
    <numFmt numFmtId="165" formatCode="_ * #,##0.00_ ;_ * \-#,##0.00_ ;_ * &quot;-&quot;_ ;_ @_ "/>
    <numFmt numFmtId="166" formatCode="#,##0.00_ ;[Red]\-#,##0.00\ "/>
    <numFmt numFmtId="167" formatCode="dd/mm/yyyy;@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4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9">
    <xf numFmtId="0" fontId="0" fillId="0" borderId="0"/>
    <xf numFmtId="42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9" fillId="0" borderId="0" applyNumberFormat="0" applyFill="0" applyBorder="0" applyAlignment="0" applyProtection="0"/>
    <xf numFmtId="42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41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5" borderId="0" xfId="0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4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/>
    </xf>
    <xf numFmtId="0" fontId="2" fillId="3" borderId="10" xfId="0" applyFont="1" applyFill="1" applyBorder="1" applyAlignment="1">
      <alignment horizontal="center" vertical="center" wrapText="1"/>
    </xf>
    <xf numFmtId="164" fontId="0" fillId="0" borderId="0" xfId="1" applyNumberFormat="1" applyFont="1"/>
    <xf numFmtId="0" fontId="0" fillId="10" borderId="1" xfId="0" applyFill="1" applyBorder="1"/>
    <xf numFmtId="0" fontId="0" fillId="0" borderId="1" xfId="0" applyBorder="1"/>
    <xf numFmtId="49" fontId="0" fillId="0" borderId="0" xfId="0" applyNumberFormat="1"/>
    <xf numFmtId="0" fontId="2" fillId="11" borderId="11" xfId="0" applyFont="1" applyFill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165" fontId="8" fillId="0" borderId="0" xfId="0" applyNumberFormat="1" applyFont="1" applyAlignment="1">
      <alignment horizontal="center" vertical="center" wrapText="1"/>
    </xf>
    <xf numFmtId="4" fontId="8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8" fillId="0" borderId="0" xfId="0" applyFont="1" applyAlignment="1">
      <alignment horizontal="center" vertical="center"/>
    </xf>
    <xf numFmtId="0" fontId="0" fillId="0" borderId="0" xfId="4" applyFont="1" applyFill="1" applyBorder="1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4" applyFont="1" applyFill="1" applyBorder="1" applyAlignment="1">
      <alignment horizontal="center" vertical="top"/>
    </xf>
    <xf numFmtId="4" fontId="0" fillId="0" borderId="0" xfId="0" applyNumberFormat="1" applyAlignment="1">
      <alignment horizontal="right" vertical="top"/>
    </xf>
    <xf numFmtId="165" fontId="0" fillId="0" borderId="0" xfId="2" applyNumberFormat="1" applyFont="1" applyFill="1" applyBorder="1" applyAlignment="1">
      <alignment vertical="top"/>
    </xf>
    <xf numFmtId="1" fontId="0" fillId="0" borderId="0" xfId="2" applyNumberFormat="1" applyFont="1" applyFill="1" applyBorder="1" applyAlignment="1">
      <alignment horizontal="right" vertical="top"/>
    </xf>
    <xf numFmtId="166" fontId="0" fillId="0" borderId="0" xfId="0" applyNumberFormat="1" applyAlignment="1">
      <alignment vertical="top"/>
    </xf>
    <xf numFmtId="0" fontId="0" fillId="0" borderId="0" xfId="0" quotePrefix="1" applyAlignment="1">
      <alignment horizontal="right" vertical="center"/>
    </xf>
    <xf numFmtId="14" fontId="0" fillId="0" borderId="0" xfId="0" applyNumberFormat="1" applyAlignment="1">
      <alignment vertical="top"/>
    </xf>
    <xf numFmtId="167" fontId="7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1" fontId="0" fillId="0" borderId="0" xfId="2" quotePrefix="1" applyNumberFormat="1" applyFont="1" applyFill="1" applyBorder="1" applyAlignment="1">
      <alignment horizontal="right" vertical="center"/>
    </xf>
    <xf numFmtId="1" fontId="0" fillId="0" borderId="0" xfId="2" quotePrefix="1" applyNumberFormat="1" applyFont="1" applyFill="1" applyBorder="1" applyAlignment="1">
      <alignment horizontal="right" vertical="top"/>
    </xf>
    <xf numFmtId="1" fontId="0" fillId="0" borderId="0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165" fontId="0" fillId="0" borderId="0" xfId="2" applyNumberFormat="1" applyFont="1" applyFill="1" applyBorder="1" applyAlignment="1">
      <alignment horizontal="right" vertical="top"/>
    </xf>
    <xf numFmtId="0" fontId="0" fillId="0" borderId="0" xfId="0" applyAlignment="1">
      <alignment horizontal="left" vertical="top"/>
    </xf>
    <xf numFmtId="167" fontId="7" fillId="0" borderId="0" xfId="0" applyNumberFormat="1" applyFont="1" applyAlignment="1">
      <alignment horizontal="right" vertical="top"/>
    </xf>
    <xf numFmtId="4" fontId="0" fillId="0" borderId="0" xfId="0" applyNumberFormat="1" applyAlignment="1">
      <alignment vertical="top"/>
    </xf>
    <xf numFmtId="9" fontId="0" fillId="0" borderId="0" xfId="3" applyFont="1" applyAlignment="1">
      <alignment vertical="top"/>
    </xf>
    <xf numFmtId="1" fontId="0" fillId="0" borderId="0" xfId="2" applyNumberFormat="1" applyFont="1" applyFill="1" applyBorder="1" applyAlignment="1">
      <alignment vertical="top"/>
    </xf>
    <xf numFmtId="9" fontId="0" fillId="0" borderId="0" xfId="3" applyFont="1" applyFill="1" applyBorder="1" applyAlignment="1">
      <alignment vertical="top"/>
    </xf>
    <xf numFmtId="0" fontId="0" fillId="4" borderId="0" xfId="0" applyFill="1" applyAlignment="1">
      <alignment horizontal="center" vertical="top"/>
    </xf>
    <xf numFmtId="15" fontId="0" fillId="4" borderId="0" xfId="0" applyNumberFormat="1" applyFill="1" applyAlignment="1">
      <alignment horizontal="center" vertical="top"/>
    </xf>
    <xf numFmtId="3" fontId="0" fillId="0" borderId="0" xfId="0" applyNumberFormat="1" applyAlignment="1">
      <alignment horizontal="center" vertical="top"/>
    </xf>
    <xf numFmtId="15" fontId="0" fillId="0" borderId="0" xfId="0" applyNumberFormat="1" applyAlignment="1">
      <alignment horizontal="center" vertical="top"/>
    </xf>
    <xf numFmtId="1" fontId="0" fillId="12" borderId="0" xfId="2" quotePrefix="1" applyNumberFormat="1" applyFont="1" applyFill="1" applyBorder="1" applyAlignment="1">
      <alignment horizontal="right" vertical="top"/>
    </xf>
    <xf numFmtId="4" fontId="0" fillId="0" borderId="0" xfId="0" applyNumberFormat="1"/>
    <xf numFmtId="1" fontId="0" fillId="0" borderId="0" xfId="0" applyNumberFormat="1"/>
    <xf numFmtId="165" fontId="0" fillId="0" borderId="0" xfId="0" applyNumberFormat="1"/>
    <xf numFmtId="167" fontId="7" fillId="0" borderId="0" xfId="0" applyNumberFormat="1" applyFon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4" fontId="0" fillId="0" borderId="0" xfId="0" applyNumberFormat="1" applyAlignment="1">
      <alignment horizontal="right" vertical="center"/>
    </xf>
    <xf numFmtId="165" fontId="0" fillId="0" borderId="0" xfId="2" applyNumberFormat="1" applyFont="1" applyAlignment="1">
      <alignment vertical="center"/>
    </xf>
    <xf numFmtId="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167" fontId="0" fillId="0" borderId="0" xfId="0" applyNumberFormat="1" applyAlignment="1">
      <alignment vertical="center"/>
    </xf>
    <xf numFmtId="0" fontId="2" fillId="11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top"/>
    </xf>
    <xf numFmtId="0" fontId="2" fillId="11" borderId="12" xfId="0" applyFont="1" applyFill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0" fillId="10" borderId="1" xfId="0" applyFill="1" applyBorder="1" applyAlignment="1">
      <alignment vertical="top"/>
    </xf>
    <xf numFmtId="14" fontId="0" fillId="0" borderId="13" xfId="0" applyNumberFormat="1" applyBorder="1" applyAlignment="1">
      <alignment horizontal="center" vertical="top"/>
    </xf>
    <xf numFmtId="0" fontId="0" fillId="0" borderId="13" xfId="4" applyFont="1" applyBorder="1" applyAlignment="1">
      <alignment horizontal="center" vertical="top"/>
    </xf>
    <xf numFmtId="4" fontId="0" fillId="0" borderId="13" xfId="0" applyNumberFormat="1" applyBorder="1" applyAlignment="1">
      <alignment horizontal="right" vertical="top"/>
    </xf>
    <xf numFmtId="0" fontId="0" fillId="0" borderId="13" xfId="0" applyBorder="1" applyAlignment="1">
      <alignment horizontal="center" vertical="top"/>
    </xf>
    <xf numFmtId="165" fontId="0" fillId="0" borderId="13" xfId="2" applyNumberFormat="1" applyFont="1" applyBorder="1" applyAlignment="1">
      <alignment vertical="top"/>
    </xf>
    <xf numFmtId="166" fontId="0" fillId="0" borderId="13" xfId="0" applyNumberFormat="1" applyBorder="1" applyAlignment="1">
      <alignment vertical="top"/>
    </xf>
    <xf numFmtId="0" fontId="0" fillId="0" borderId="13" xfId="0" quotePrefix="1" applyBorder="1" applyAlignment="1">
      <alignment horizontal="right" vertical="center"/>
    </xf>
    <xf numFmtId="14" fontId="0" fillId="0" borderId="13" xfId="0" applyNumberFormat="1" applyBorder="1" applyAlignment="1">
      <alignment vertical="top"/>
    </xf>
    <xf numFmtId="0" fontId="0" fillId="0" borderId="13" xfId="0" applyBorder="1" applyAlignment="1">
      <alignment horizontal="center" vertical="center" wrapText="1"/>
    </xf>
    <xf numFmtId="1" fontId="0" fillId="0" borderId="13" xfId="2" quotePrefix="1" applyNumberFormat="1" applyFont="1" applyBorder="1" applyAlignment="1">
      <alignment horizontal="right" vertical="center"/>
    </xf>
    <xf numFmtId="1" fontId="0" fillId="0" borderId="13" xfId="2" quotePrefix="1" applyNumberFormat="1" applyFont="1" applyBorder="1" applyAlignment="1">
      <alignment horizontal="right" vertical="top"/>
    </xf>
    <xf numFmtId="0" fontId="0" fillId="0" borderId="13" xfId="0" applyBorder="1" applyAlignment="1">
      <alignment horizontal="right"/>
    </xf>
    <xf numFmtId="0" fontId="0" fillId="0" borderId="13" xfId="0" applyBorder="1" applyAlignment="1">
      <alignment horizontal="right" vertical="top"/>
    </xf>
    <xf numFmtId="165" fontId="0" fillId="0" borderId="13" xfId="2" applyNumberFormat="1" applyFont="1" applyBorder="1" applyAlignment="1">
      <alignment horizontal="right" vertical="top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64" fontId="0" fillId="0" borderId="0" xfId="0" applyNumberFormat="1"/>
    <xf numFmtId="0" fontId="0" fillId="3" borderId="0" xfId="0" applyFill="1" applyAlignment="1">
      <alignment horizontal="left"/>
    </xf>
    <xf numFmtId="0" fontId="0" fillId="14" borderId="0" xfId="0" applyFill="1"/>
    <xf numFmtId="167" fontId="7" fillId="0" borderId="13" xfId="0" applyNumberFormat="1" applyFont="1" applyBorder="1" applyAlignment="1">
      <alignment vertical="top"/>
    </xf>
    <xf numFmtId="0" fontId="7" fillId="0" borderId="13" xfId="0" applyFont="1" applyBorder="1" applyAlignment="1">
      <alignment horizontal="right"/>
    </xf>
    <xf numFmtId="167" fontId="7" fillId="0" borderId="13" xfId="0" applyNumberFormat="1" applyFont="1" applyBorder="1" applyAlignment="1">
      <alignment horizontal="right" vertical="top"/>
    </xf>
    <xf numFmtId="0" fontId="2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165" fontId="2" fillId="11" borderId="0" xfId="0" applyNumberFormat="1" applyFont="1" applyFill="1" applyAlignment="1">
      <alignment horizontal="center" vertical="center" wrapText="1"/>
    </xf>
    <xf numFmtId="0" fontId="2" fillId="11" borderId="0" xfId="0" applyFont="1" applyFill="1" applyAlignment="1">
      <alignment horizontal="right" vertical="center" wrapText="1"/>
    </xf>
    <xf numFmtId="14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0" borderId="0" xfId="0" applyFont="1" applyAlignment="1">
      <alignment horizontal="right"/>
    </xf>
    <xf numFmtId="0" fontId="0" fillId="0" borderId="14" xfId="0" applyBorder="1" applyAlignment="1">
      <alignment horizontal="left" wrapText="1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 wrapText="1"/>
    </xf>
    <xf numFmtId="0" fontId="2" fillId="11" borderId="1" xfId="0" applyFont="1" applyFill="1" applyBorder="1"/>
    <xf numFmtId="0" fontId="2" fillId="11" borderId="16" xfId="0" applyFont="1" applyFill="1" applyBorder="1"/>
    <xf numFmtId="0" fontId="2" fillId="3" borderId="15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left"/>
    </xf>
    <xf numFmtId="0" fontId="2" fillId="11" borderId="5" xfId="0" applyFont="1" applyFill="1" applyBorder="1" applyAlignment="1">
      <alignment horizontal="left"/>
    </xf>
    <xf numFmtId="0" fontId="2" fillId="11" borderId="18" xfId="0" applyFont="1" applyFill="1" applyBorder="1" applyAlignment="1">
      <alignment horizontal="left"/>
    </xf>
    <xf numFmtId="0" fontId="0" fillId="4" borderId="0" xfId="0" applyFill="1"/>
    <xf numFmtId="0" fontId="0" fillId="3" borderId="0" xfId="0" applyFill="1"/>
    <xf numFmtId="0" fontId="5" fillId="7" borderId="2" xfId="0" applyFont="1" applyFill="1" applyBorder="1" applyAlignment="1">
      <alignment vertical="center"/>
    </xf>
    <xf numFmtId="0" fontId="5" fillId="7" borderId="3" xfId="0" applyFont="1" applyFill="1" applyBorder="1" applyAlignment="1">
      <alignment vertical="center"/>
    </xf>
    <xf numFmtId="0" fontId="5" fillId="7" borderId="4" xfId="0" applyFont="1" applyFill="1" applyBorder="1" applyAlignment="1">
      <alignment vertical="center"/>
    </xf>
    <xf numFmtId="0" fontId="0" fillId="4" borderId="0" xfId="0" applyFill="1" applyAlignment="1">
      <alignment horizontal="center"/>
    </xf>
    <xf numFmtId="0" fontId="0" fillId="6" borderId="0" xfId="0" applyFill="1"/>
    <xf numFmtId="0" fontId="0" fillId="0" borderId="0" xfId="0" applyAlignment="1">
      <alignment horizontal="left" vertical="center" wrapText="1"/>
    </xf>
    <xf numFmtId="0" fontId="0" fillId="8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/>
    <xf numFmtId="49" fontId="0" fillId="6" borderId="0" xfId="0" applyNumberFormat="1" applyFill="1"/>
    <xf numFmtId="14" fontId="0" fillId="6" borderId="0" xfId="0" applyNumberFormat="1" applyFill="1" applyAlignment="1">
      <alignment horizontal="center"/>
    </xf>
    <xf numFmtId="0" fontId="0" fillId="6" borderId="0" xfId="0" applyFill="1" applyAlignment="1">
      <alignment vertical="center"/>
    </xf>
    <xf numFmtId="164" fontId="0" fillId="6" borderId="0" xfId="1" applyNumberFormat="1" applyFont="1" applyFill="1"/>
    <xf numFmtId="0" fontId="0" fillId="6" borderId="0" xfId="0" applyFill="1" applyAlignment="1">
      <alignment horizontal="left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164" fontId="0" fillId="15" borderId="0" xfId="0" applyNumberFormat="1" applyFill="1"/>
    <xf numFmtId="49" fontId="0" fillId="15" borderId="0" xfId="0" applyNumberFormat="1" applyFill="1"/>
    <xf numFmtId="0" fontId="0" fillId="15" borderId="0" xfId="0" applyFill="1" applyAlignment="1">
      <alignment vertical="center"/>
    </xf>
    <xf numFmtId="14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left"/>
    </xf>
    <xf numFmtId="0" fontId="0" fillId="16" borderId="0" xfId="0" applyFill="1"/>
    <xf numFmtId="0" fontId="0" fillId="17" borderId="0" xfId="0" applyFill="1"/>
    <xf numFmtId="0" fontId="0" fillId="17" borderId="0" xfId="0" applyFill="1" applyAlignment="1">
      <alignment horizontal="center" vertical="center"/>
    </xf>
    <xf numFmtId="49" fontId="0" fillId="17" borderId="0" xfId="0" applyNumberFormat="1" applyFill="1"/>
    <xf numFmtId="0" fontId="0" fillId="17" borderId="0" xfId="0" applyFill="1" applyAlignment="1">
      <alignment vertical="center"/>
    </xf>
    <xf numFmtId="14" fontId="0" fillId="17" borderId="0" xfId="0" applyNumberFormat="1" applyFill="1" applyAlignment="1">
      <alignment horizontal="center"/>
    </xf>
    <xf numFmtId="14" fontId="0" fillId="17" borderId="0" xfId="0" applyNumberFormat="1" applyFill="1" applyAlignment="1">
      <alignment horizontal="center" vertical="center"/>
    </xf>
    <xf numFmtId="164" fontId="0" fillId="17" borderId="0" xfId="0" applyNumberFormat="1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15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5" fillId="7" borderId="6" xfId="0" applyFont="1" applyFill="1" applyBorder="1" applyAlignment="1">
      <alignment vertical="center"/>
    </xf>
    <xf numFmtId="0" fontId="5" fillId="7" borderId="7" xfId="0" applyFont="1" applyFill="1" applyBorder="1" applyAlignment="1">
      <alignment vertical="center"/>
    </xf>
    <xf numFmtId="0" fontId="5" fillId="7" borderId="8" xfId="0" applyFont="1" applyFill="1" applyBorder="1" applyAlignment="1">
      <alignment vertical="center"/>
    </xf>
    <xf numFmtId="0" fontId="2" fillId="18" borderId="0" xfId="0" applyFont="1" applyFill="1" applyAlignment="1">
      <alignment horizontal="center" vertical="center" wrapText="1"/>
    </xf>
    <xf numFmtId="17" fontId="0" fillId="10" borderId="1" xfId="0" applyNumberFormat="1" applyFill="1" applyBorder="1" applyAlignment="1">
      <alignment horizontal="center" vertical="center"/>
    </xf>
    <xf numFmtId="0" fontId="0" fillId="6" borderId="1" xfId="0" applyFill="1" applyBorder="1"/>
    <xf numFmtId="0" fontId="0" fillId="4" borderId="1" xfId="0" applyFill="1" applyBorder="1"/>
    <xf numFmtId="0" fontId="5" fillId="6" borderId="19" xfId="0" applyFont="1" applyFill="1" applyBorder="1" applyAlignment="1">
      <alignment vertical="center" wrapText="1"/>
    </xf>
    <xf numFmtId="0" fontId="5" fillId="6" borderId="0" xfId="0" applyFont="1" applyFill="1" applyAlignment="1">
      <alignment vertical="center" wrapText="1"/>
    </xf>
    <xf numFmtId="0" fontId="5" fillId="6" borderId="20" xfId="0" applyFont="1" applyFill="1" applyBorder="1" applyAlignment="1">
      <alignment vertical="center" wrapText="1"/>
    </xf>
    <xf numFmtId="0" fontId="5" fillId="7" borderId="3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13" fillId="0" borderId="0" xfId="0" applyFont="1" applyAlignment="1">
      <alignment horizontal="left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</cellXfs>
  <cellStyles count="9">
    <cellStyle name="Hipervínculo 2" xfId="4" xr:uid="{6E6AAFB5-B016-4A58-B866-13963D42C46C}"/>
    <cellStyle name="Millares [0]" xfId="2" builtinId="6"/>
    <cellStyle name="Millares [0] 2" xfId="6" xr:uid="{633B77BE-734F-44CD-80E8-7427FD7B614D}"/>
    <cellStyle name="Millares [0] 3" xfId="8" xr:uid="{9F74A09A-3590-46AC-A312-61A8A046AD4A}"/>
    <cellStyle name="Moneda [0]" xfId="1" builtinId="7"/>
    <cellStyle name="Moneda [0] 2" xfId="5" xr:uid="{30DA8798-D2FF-4905-8D30-418A74070747}"/>
    <cellStyle name="Moneda [0] 3" xfId="7" xr:uid="{F6B2D50D-C5BC-4CF3-8C44-2D3D8B12A01A}"/>
    <cellStyle name="Normal" xfId="0" builtinId="0"/>
    <cellStyle name="Porcentaje" xfId="3" builtinId="5"/>
  </cellStyles>
  <dxfs count="11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dd/mm/yyyy;@"/>
    </dxf>
    <dxf>
      <font>
        <b/>
      </font>
      <numFmt numFmtId="167" formatCode="dd/mm/yyyy;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0_ ;_ * \-#,##0.00_ ;_ * &quot;-&quot;_ ;_ @_ 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numFmt numFmtId="165" formatCode="_ * #,##0.00_ ;_ * \-#,##0.00_ ;_ * &quot;-&quot;_ ;_ @_ 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numFmt numFmtId="1" formatCode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numFmt numFmtId="4" formatCode="#,##0.0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#,##0.00_ ;[Red]\-#,##0.00\ "/>
      <alignment horizontal="general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#,##0.00_ ;[Red]\-#,##0.00\ "/>
      <alignment horizontal="general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0_ ;_ * \-#,##0.00_ ;_ * &quot;-&quot;_ ;_ @_ "/>
      <alignment horizontal="general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0_ ;_ * \-#,##0.00_ ;_ * &quot;-&quot;_ ;_ @_ "/>
      <alignment horizontal="general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</dxf>
    <dxf>
      <border outline="0">
        <right style="thin">
          <color theme="4"/>
        </right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 [$USD]\ * #,##0_ ;_ [$USD]\ * \-#,##0_ ;_ [$USD]\ * &quot;-&quot;_ ;_ @_ "/>
    </dxf>
    <dxf>
      <numFmt numFmtId="0" formatCode="General"/>
    </dxf>
    <dxf>
      <fill>
        <patternFill>
          <fgColor indexed="64"/>
          <bgColor rgb="FFFFFF00"/>
        </patternFill>
      </fill>
    </dxf>
    <dxf>
      <numFmt numFmtId="0" formatCode="General"/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2" formatCode="mmm/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  <alignment horizont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</dxf>
    <dxf>
      <alignment horizontal="center" textRotation="0" wrapText="0" indent="0" justifyLastLine="0" shrinkToFit="0" readingOrder="0"/>
    </dxf>
    <dxf>
      <numFmt numFmtId="0" formatCode="General"/>
    </dxf>
    <dxf>
      <fill>
        <patternFill>
          <fgColor indexed="64"/>
          <bgColor theme="7" tint="0.39997558519241921"/>
        </patternFill>
      </fill>
      <alignment horizontal="general" textRotation="0" wrapText="0" indent="0" justifyLastLine="0" shrinkToFit="0" readingOrder="0"/>
    </dxf>
    <dxf>
      <numFmt numFmtId="30" formatCode="@"/>
    </dxf>
    <dxf>
      <numFmt numFmtId="0" formatCode="General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>
          <fgColor indexed="64"/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 [$USD]\ * #,##0_ ;_ [$USD]\ * \-#,##0_ ;_ [$USD]\ * &quot;-&quot;_ ;_ @_ "/>
      <alignment horizontal="center" vertical="center" textRotation="0" wrapText="0" indent="0" justifyLastLine="0" shrinkToFit="0" readingOrder="0"/>
    </dxf>
    <dxf>
      <numFmt numFmtId="164" formatCode="_ [$USD]\ * #,##0_ ;_ [$USD]\ * \-#,##0_ ;_ [$USD]\ * &quot;-&quot;_ ;_ @_ "/>
      <alignment horizontal="center" vertical="center" textRotation="0" wrapText="0" indent="0" justifyLastLine="0" shrinkToFit="0" readingOrder="0"/>
    </dxf>
    <dxf>
      <numFmt numFmtId="164" formatCode="_ [$USD]\ * #,##0_ ;_ [$USD]\ * \-#,##0_ ;_ [$USD]\ * &quot;-&quot;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971551</xdr:colOff>
      <xdr:row>0</xdr:row>
      <xdr:rowOff>161924</xdr:rowOff>
    </xdr:from>
    <xdr:to>
      <xdr:col>5</xdr:col>
      <xdr:colOff>685800</xdr:colOff>
      <xdr:row>22</xdr:row>
      <xdr:rowOff>66674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4E6FE9C-34CF-9DC9-3190-8B26F5D1B925}"/>
            </a:ext>
          </a:extLst>
        </xdr:cNvPr>
        <xdr:cNvSpPr/>
      </xdr:nvSpPr>
      <xdr:spPr>
        <a:xfrm>
          <a:off x="1733551" y="161924"/>
          <a:ext cx="5029199" cy="5133975"/>
        </a:xfrm>
        <a:prstGeom prst="roundRect">
          <a:avLst>
            <a:gd name="adj" fmla="val 7628"/>
          </a:avLst>
        </a:prstGeom>
        <a:noFill/>
        <a:effectLst>
          <a:outerShdw blurRad="88900" dist="25400" dir="6600000" sx="98000" sy="98000" algn="r" rotWithShape="0">
            <a:prstClr val="black">
              <a:alpha val="72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</xdr:col>
      <xdr:colOff>85725</xdr:colOff>
      <xdr:row>19</xdr:row>
      <xdr:rowOff>47625</xdr:rowOff>
    </xdr:from>
    <xdr:to>
      <xdr:col>3</xdr:col>
      <xdr:colOff>628650</xdr:colOff>
      <xdr:row>20</xdr:row>
      <xdr:rowOff>180975</xdr:rowOff>
    </xdr:to>
    <xdr:sp macro="[0]!LimpiarDatos" textlink="">
      <xdr:nvSpPr>
        <xdr:cNvPr id="3" name="Rectángulo: biselado 2">
          <a:extLst>
            <a:ext uri="{FF2B5EF4-FFF2-40B4-BE49-F238E27FC236}">
              <a16:creationId xmlns:a16="http://schemas.microsoft.com/office/drawing/2014/main" id="{5D5B7B27-50C6-42CB-5BF0-F2C222559D44}"/>
            </a:ext>
          </a:extLst>
        </xdr:cNvPr>
        <xdr:cNvSpPr/>
      </xdr:nvSpPr>
      <xdr:spPr>
        <a:xfrm>
          <a:off x="3248025" y="3962400"/>
          <a:ext cx="742950" cy="323850"/>
        </a:xfrm>
        <a:prstGeom prst="bevel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>
              <a:solidFill>
                <a:sysClr val="windowText" lastClr="000000"/>
              </a:solidFill>
            </a:rPr>
            <a:t>Limpiar</a:t>
          </a:r>
        </a:p>
      </xdr:txBody>
    </xdr:sp>
    <xdr:clientData/>
  </xdr:twoCellAnchor>
  <xdr:twoCellAnchor>
    <xdr:from>
      <xdr:col>3</xdr:col>
      <xdr:colOff>1019175</xdr:colOff>
      <xdr:row>19</xdr:row>
      <xdr:rowOff>47625</xdr:rowOff>
    </xdr:from>
    <xdr:to>
      <xdr:col>3</xdr:col>
      <xdr:colOff>1847850</xdr:colOff>
      <xdr:row>20</xdr:row>
      <xdr:rowOff>180975</xdr:rowOff>
    </xdr:to>
    <xdr:sp macro="[0]!GuardarDatosDistintos" textlink="">
      <xdr:nvSpPr>
        <xdr:cNvPr id="5" name="Rectángulo: biselado 4">
          <a:extLst>
            <a:ext uri="{FF2B5EF4-FFF2-40B4-BE49-F238E27FC236}">
              <a16:creationId xmlns:a16="http://schemas.microsoft.com/office/drawing/2014/main" id="{FF8EA550-B168-58A0-5E84-B9CCF0DE4C11}"/>
            </a:ext>
          </a:extLst>
        </xdr:cNvPr>
        <xdr:cNvSpPr/>
      </xdr:nvSpPr>
      <xdr:spPr>
        <a:xfrm>
          <a:off x="4381500" y="3962400"/>
          <a:ext cx="828675" cy="323850"/>
        </a:xfrm>
        <a:prstGeom prst="bevel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s-CL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Guardar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dec365-my.sharepoint.com/Users/carlos.campos/Desktop/minuta%20de%20inversi&#243;n/Datos%20resumen%202021%20CC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2021"/>
      <sheetName val="Grafico Tipo de Proyecto"/>
      <sheetName val="Grafico Tipo de Sistema"/>
      <sheetName val="rangos "/>
      <sheetName val="Nuevos graficos"/>
      <sheetName val="rangos y graficos"/>
      <sheetName val="Grafico Tipo de Obra"/>
      <sheetName val="Datos resumen 2021 CC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Grace Karen León Anabalón" id="{6C4A59C3-13E7-4330-A9BF-097E1ADD6B34}" userId="grace.leon@coordinador.cl" providerId="PeoplePicker"/>
  <person displayName="Carlos Alberto Campos Sánchez" id="{EA41B2DE-3A91-4CD4-A2BB-DBC6EC55DF1D}" userId="carlos.campos@coordinador.cl" providerId="PeoplePicker"/>
  <person displayName="Carolina Silva Ortiz de Zarate" id="{77F4112F-E06B-411F-B635-4FB630D8DCBF}" userId="carolina.silva@coordinador.cl" providerId="PeoplePicker"/>
  <person displayName="Grace Karen León Anabalón" id="{67EC178E-ADB0-40FB-A02D-3A84590D9674}" userId="S::grace.leon@coordinador.cl::1c2e73fa-bfd8-461f-b2e5-e04944e193f9" providerId="AD"/>
  <person displayName="Sergio Andrés Ortíz Orrego" id="{DBCC88F6-5814-4AE0-8A03-61F2482D5455}" userId="S::sergio.ortiz@coordinadorelectrico.cl::e00ec05c-472e-419e-9228-3ab68113a95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525C40-96BD-458D-B023-526E37DB1EDB}" name="BASE_GRAL" displayName="BASE_GRAL" ref="A3:AN128" totalsRowShown="0" headerRowDxfId="116">
  <sortState xmlns:xlrd2="http://schemas.microsoft.com/office/spreadsheetml/2017/richdata2" ref="A71:AN95">
    <sortCondition ref="Z3:Z128"/>
  </sortState>
  <tableColumns count="40">
    <tableColumn id="1" xr3:uid="{506E1FC8-2816-48EC-B5BF-B9334D7DDBD9}" name="ID"/>
    <tableColumn id="44" xr3:uid="{E989F3C4-566D-44A1-8315-7A50F42E3FDA}" name="Alias"/>
    <tableColumn id="3" xr3:uid="{2A362116-5B56-49EE-820C-1D7457E6AF3D}" name="Año" dataDxfId="115">
      <calculatedColumnFormula>IFERROR(INDEX(Tabla6[AÑO],MATCH(B4,Tabla6[Alias],0)),"")</calculatedColumnFormula>
    </tableColumn>
    <tableColumn id="4" xr3:uid="{E047FE63-D73B-402A-ADDA-A7146865D554}" name="Decreto" dataDxfId="114">
      <calculatedColumnFormula>IFERROR(INDEX(Tabla6[DECRETO],MATCH(B4,Tabla6[Alias],0)),"")</calculatedColumnFormula>
    </tableColumn>
    <tableColumn id="5" xr3:uid="{BE1634E6-EBF2-43E8-AD9E-3B81453090FC}" name="Fecha de Promulgación"/>
    <tableColumn id="6" xr3:uid="{4776F4BA-DE65-4FB5-8A93-DB4190FD7854}" name="Tabla" dataDxfId="113">
      <calculatedColumnFormula>IFERROR(INDEX(Tabla6[Tabla],MATCH(B4,Tabla6[Alias],0)),"")</calculatedColumnFormula>
    </tableColumn>
    <tableColumn id="7" xr3:uid="{1540F43A-B039-44D9-8402-A3B225BBF423}" name="Sistema" dataDxfId="112"/>
    <tableColumn id="42" xr3:uid="{A15D4CDB-B99E-40B7-8611-E7CC83AD6FA8}" name="ID_INDIVIDUAL" dataDxfId="111">
      <calculatedColumnFormula>IFERROR(INDEX(Tabla6[ID_OBRA],MATCH(B4,Tabla6[Alias],0)),"")</calculatedColumnFormula>
    </tableColumn>
    <tableColumn id="10" xr3:uid="{BA0C1E83-FE49-49C8-8C6C-D44AF1DBE6D1}" name="NOMBRE OBRA" dataDxfId="110">
      <calculatedColumnFormula>IFERROR(INDEX(Tabla6[Nombre Obra],MATCH(B4,Tabla6[Alias],0)),"")</calculatedColumnFormula>
    </tableColumn>
    <tableColumn id="9" xr3:uid="{DD64C0E8-7F74-4CF2-8247-E720625FCBD3}" name="Segmento" dataDxfId="109">
      <calculatedColumnFormula>IFERROR(INDEX(Tabla6[Segmento],MATCH(B4,Tabla6[Alias],0)),"")</calculatedColumnFormula>
    </tableColumn>
    <tableColumn id="45" xr3:uid="{B084DBD0-8A9D-418F-860F-8238BAC422B7}" name="Region" dataDxfId="108">
      <calculatedColumnFormula>IFERROR(INDEX(Tabla6[Region],MATCH(B4,Tabla6[Alias],0)),"")</calculatedColumnFormula>
    </tableColumn>
    <tableColumn id="11" xr3:uid="{54704165-93DD-476E-B293-6B32F83ABB15}" name="Tipo de Obra" dataDxfId="107">
      <calculatedColumnFormula>IFERROR(INDEX(Tabla6[Tipo de Obra],MATCH(B4,Tabla6[Alias],0))," ")</calculatedColumnFormula>
    </tableColumn>
    <tableColumn id="12" xr3:uid="{70EBA7D6-8F6F-4AD6-BB5B-6A0E3135ED56}" name="Tipo de Obras" dataDxfId="106">
      <calculatedColumnFormula>IFERROR(INDEX(Tabla6[Tipo de Obras],MATCH(B4,Tabla6[Alias],0))," ")</calculatedColumnFormula>
    </tableColumn>
    <tableColumn id="20" xr3:uid="{BC5C3DED-906D-4A8E-AE3E-539E4004AB61}" name="Plazo Constructivo" dataDxfId="105">
      <calculatedColumnFormula>IFERROR(INDEX(Tabla6[Plazo constructivo],MATCH(B4,Tabla6[Alias],0))," ")</calculatedColumnFormula>
    </tableColumn>
    <tableColumn id="13" xr3:uid="{2BCA43EE-6097-4A12-91CA-556731E5FB9D}" name="Fecha EO" dataDxfId="104"/>
    <tableColumn id="15" xr3:uid="{8F18898F-7E87-419F-9017-229544588854}" name="AVI REF" dataDxfId="103">
      <calculatedColumnFormula>IFERROR(INDEX(Tabla6[AVI REF],MATCH(B4,Tabla6[Alias],0))," ")</calculatedColumnFormula>
    </tableColumn>
    <tableColumn id="16" xr3:uid="{678F1700-8E2D-42B1-ACBF-F2E81FB8D119}" name="COMA REF" dataDxfId="102">
      <calculatedColumnFormula>IFERROR(INDEX(Tabla6[COMA REF],MATCH(B4,Tabla6[Alias],0))," ")</calculatedColumnFormula>
    </tableColumn>
    <tableColumn id="14" xr3:uid="{54965988-6AC4-4E77-BF0B-CDD58B513B51}" name="VATT REF [AVI + COMA]" dataDxfId="101">
      <calculatedColumnFormula>IFERROR(INDEX(Tabla6[VATT REF '[AVI + COMA']],MATCH(B4,Tabla6[Alias],0))," ")</calculatedColumnFormula>
    </tableColumn>
    <tableColumn id="21" xr3:uid="{D2F633F0-2484-4BAA-82B9-9BDBC3BEFDC5}" name="Propietario" dataDxfId="100">
      <calculatedColumnFormula>IFERROR(INDEX(Tabla6[Propietario],MATCH(B4,Tabla6[Alias],0))," ")</calculatedColumnFormula>
    </tableColumn>
    <tableColumn id="22" xr3:uid="{D7E322F1-351F-469E-A8B2-1E100934387D}" name="AUX Nombre"/>
    <tableColumn id="23" xr3:uid="{D3DE22B0-2F46-4C5A-A563-F35D2BE0DF78}" name="Columna1"/>
    <tableColumn id="2" xr3:uid="{931D568E-CD0B-4AB3-B803-E2AF119AF63D}" name="Proceso [AÑO + DECRETO]" dataDxfId="99"/>
    <tableColumn id="25" xr3:uid="{90D2E8AB-E915-45C7-A8D9-34B122FEF0C2}" name="ESTADO 1" dataDxfId="98"/>
    <tableColumn id="17" xr3:uid="{4A3DCE07-B3FD-4284-9C3C-69DB17088779}" name="Grupo" dataDxfId="97"/>
    <tableColumn id="18" xr3:uid="{0745E2DE-5A67-453A-A850-C153C253AB5D}" name="Subgrupo" dataDxfId="96"/>
    <tableColumn id="34" xr3:uid="{1934FA01-3165-4917-BFDB-A4022F0C2126}" name="ID_GRUPO" dataDxfId="95">
      <calculatedColumnFormula>CONCATENATE(LEFT(BASE_GRAL[[#This Row],[Proceso '[AÑO + DECRETO']]],2),MID(BASE_GRAL[[#This Row],[Proceso '[AÑO + DECRETO']]],3,4),RIGHT(BASE_GRAL[[#This Row],[Proceso '[AÑO + DECRETO']]],6),"_",BASE_GRAL[[#This Row],[Grupo]])</calculatedColumnFormula>
    </tableColumn>
    <tableColumn id="39" xr3:uid="{ECEFEB55-7C41-4BB5-8C14-C961F5CC3713}" name="ID_SUBGRUPO" dataDxfId="94">
      <calculatedColumnFormula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calculatedColumnFormula>
    </tableColumn>
    <tableColumn id="27" xr3:uid="{987E17AC-2ACF-4523-85F2-9BA63BA4FC11}" name="Auxiliar" dataDxfId="93"/>
    <tableColumn id="19" xr3:uid="{9A28187B-9D91-4500-BD8D-058E2CA5C18A}" name="VI Máx"/>
    <tableColumn id="26" xr3:uid="{8B5E823A-1365-4665-9C25-56DF740C6EEF}" name="VATT Máx"/>
    <tableColumn id="28" xr3:uid="{3B6E9CBC-F695-4D76-897E-CA6609F0593F}" name="EMPRESA ADJUDICADA" dataDxfId="92"/>
    <tableColumn id="40" xr3:uid="{6067E1DE-05F7-4D09-85FB-56AD992AA5D5}" name="ID_PROPONENTE" dataDxfId="91">
      <calculatedColumnFormula>IFERROR(INDEX(Tabla10[ID],MATCH(BASE_GRAL[[#This Row],[EMPRESA ADJUDICADA]],Tabla10[Alias],0)),"")</calculatedColumnFormula>
    </tableColumn>
    <tableColumn id="37" xr3:uid="{9FE92505-DD85-408E-ABEA-859C3A03CAC9}" name="FECHA DE ADJUDICACIÓN" dataDxfId="90"/>
    <tableColumn id="29" xr3:uid="{87A9E46F-93B6-40DB-B367-DBB5D408B3D2}" name="VI ADJUDICADO"/>
    <tableColumn id="30" xr3:uid="{4C6085EE-89CC-41DD-8CEE-175FE12B2956}" name="AVI ADJUDICADO"/>
    <tableColumn id="31" xr3:uid="{4C3284EB-F182-4B3D-A44A-5F313E0FFB50}" name="COMA ADJUDICADO"/>
    <tableColumn id="32" xr3:uid="{7BDBBBAB-F6D0-414E-99F6-AF07FDE26147}" name="VATT ADJUDICADO" dataDxfId="89">
      <calculatedColumnFormula>+BASE_GRAL[[#This Row],[COMA ADJUDICADO]]+BASE_GRAL[[#This Row],[AVI ADJUDICADO]]</calculatedColumnFormula>
    </tableColumn>
    <tableColumn id="33" xr3:uid="{6DCA5A7B-9633-41E3-8ABF-AC2B14DE0150}" name="ESTADO 2"/>
    <tableColumn id="35" xr3:uid="{001B8E5E-7F59-46BA-A770-59A35792C52B}" name="Decreto2" dataDxfId="88"/>
    <tableColumn id="36" xr3:uid="{7C1DEF91-13D8-4ABA-A2C6-38D8B2CCE2EC}" name="Fecha de Promulgación2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F1CBDA-90A7-40C0-8011-F1415A69C605}" name="Tabla6" displayName="Tabla6" ref="A1:V101" totalsRowShown="0">
  <autoFilter ref="A1:V101" xr:uid="{40F1CBDA-90A7-40C0-8011-F1415A69C605}"/>
  <tableColumns count="22">
    <tableColumn id="1" xr3:uid="{DB0DEEE7-FE19-48E2-967D-075AC860D375}" name="ID"/>
    <tableColumn id="2" xr3:uid="{4B87DAAF-74C1-4132-82F8-8DCAFF695E92}" name="AÑO"/>
    <tableColumn id="3" xr3:uid="{511603F7-3E3A-4030-91F1-B5B43FA3969A}" name="DECRETO"/>
    <tableColumn id="4" xr3:uid="{EA566D75-AC7E-4D15-9AF7-E99BDEB8A954}" name="Fecha de Promulgación" dataDxfId="86"/>
    <tableColumn id="5" xr3:uid="{BD33BE70-CDAB-4863-A243-74BDAF27DF06}" name="Tabla"/>
    <tableColumn id="6" xr3:uid="{B06F6BD6-8017-463C-A742-DC591195F75B}" name="Sistema"/>
    <tableColumn id="7" xr3:uid="{F42E64EB-7E5F-4CEA-B53F-BF2D7DA05D19}" name="ID_OBRA"/>
    <tableColumn id="8" xr3:uid="{B8664A50-6181-450C-9E3D-A0757DF66068}" name="Nombre Obra"/>
    <tableColumn id="9" xr3:uid="{2AD6F0E2-8EEF-47EA-9D29-F02011E01518}" name="Alias" dataDxfId="85">
      <calculatedColumnFormula>Tabla6[[#This Row],[DECRETO]]&amp;" - "&amp;Tabla6[[#This Row],[Nombre Obra]]</calculatedColumnFormula>
    </tableColumn>
    <tableColumn id="10" xr3:uid="{01093D8D-271B-415D-BC8C-9197116189AC}" name="Segmento"/>
    <tableColumn id="19" xr3:uid="{E529CD8F-FEA4-4155-86ED-C202E0C8BF88}" name="Region" dataDxfId="84"/>
    <tableColumn id="11" xr3:uid="{0AEDA450-1C8E-40BB-BA88-6D28BF97B445}" name="Tipo de Obra"/>
    <tableColumn id="12" xr3:uid="{4D8735D5-ADF6-4E8E-A8D4-8AA8FF777DC8}" name="Tipo de Obras"/>
    <tableColumn id="13" xr3:uid="{01F7348B-802B-4F0A-A3C1-77DBBDDCCD47}" name="Plazo constructivo"/>
    <tableColumn id="14" xr3:uid="{BE85EA0C-C890-4E07-839C-507B04DD8042}" name="Fecha EO" dataDxfId="83"/>
    <tableColumn id="15" xr3:uid="{4075A891-1CC3-4651-8A78-9709BE1D396F}" name="AVI REF"/>
    <tableColumn id="16" xr3:uid="{EEF173AE-B3A7-455E-A35F-33FD7C6AB5E9}" name="COMA REF"/>
    <tableColumn id="17" xr3:uid="{FC4F8BA7-97E8-48D4-8F35-36DBD2F0E111}" name="VATT REF [AVI + COMA]"/>
    <tableColumn id="18" xr3:uid="{AC88991F-5F05-4208-9423-E6FD8EA9C55F}" name="Propietario"/>
    <tableColumn id="21" xr3:uid="{8BB6B030-5FAD-477A-941C-BDCC3BA8C1E6}" name="Estado 1" dataDxfId="82">
      <calculatedColumnFormula array="1">INDEX(BASE_GRAL[ESTADO 1], MAX(IF(BASE_GRAL[ID_INDIVIDUAL]=G2, ROW(BASE_GRAL[ID_INDIVIDUAL])-MIN(ROW(BASE_GRAL[ID_INDIVIDUAL]))+1)))</calculatedColumnFormula>
    </tableColumn>
    <tableColumn id="20" xr3:uid="{204655EF-23ED-4566-8E2A-600952C3677D}" name="Estado 2" dataDxfId="81">
      <calculatedColumnFormula array="1">INDEX(BASE_GRAL[ESTADO 2], MAX(IF(BASE_GRAL[ID_INDIVIDUAL]=G2, ROW(BASE_GRAL[ID_INDIVIDUAL])-MIN(ROW(BASE_GRAL[ID_INDIVIDUAL]))+1)))</calculatedColumnFormula>
    </tableColumn>
    <tableColumn id="22" xr3:uid="{F78B5EF3-B7AE-4BEE-B7A1-F2727B7BB72E}" name="Ultimo Proceso" dataDxfId="80">
      <calculatedColumnFormula array="1">INDEX(BASE_GRAL[Proceso '[AÑO + DECRETO']], MAX(IF(BASE_GRAL[ID_INDIVIDUAL]=G2, ROW(BASE_GRAL[ID_INDIVIDUAL])-MIN(ROW(BASE_GRAL[ID_INDIVIDUAL]))+1)))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4D08EEA-378A-46FA-89B8-26533C4583C6}" name="Tabla8" displayName="Tabla8" ref="B91:B94" totalsRowShown="0">
  <autoFilter ref="B91:B94" xr:uid="{14D08EEA-378A-46FA-89B8-26533C4583C6}"/>
  <tableColumns count="1">
    <tableColumn id="1" xr3:uid="{1B3318AD-0AE4-4604-9F5C-6316CEE3A24E}" name="Tip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63F0897-BE27-4FA8-913D-8CA75A7C540C}" name="Tabla10" displayName="Tabla10" ref="B1:I66" totalsRowShown="0" headerRowDxfId="78" headerRowBorderDxfId="77" tableBorderDxfId="76">
  <autoFilter ref="B1:I66" xr:uid="{963F0897-BE27-4FA8-913D-8CA75A7C540C}"/>
  <tableColumns count="8">
    <tableColumn id="1" xr3:uid="{006C3FB1-21C9-430E-805D-0D92F3E22596}" name="ID"/>
    <tableColumn id="2" xr3:uid="{1F0CF710-1ADC-44CD-9CD7-94ADFD6DFA59}" name="Alias"/>
    <tableColumn id="3" xr3:uid="{B16CA66E-5269-4294-ABB5-56344E704BD6}" name="Razon social "/>
    <tableColumn id="4" xr3:uid="{79604BAF-A2DB-4273-BB91-8338B9CDCC2B}" name="RUT"/>
    <tableColumn id="5" xr3:uid="{9D44B3CC-3C49-4C47-AC43-B94BCD34369B}" name="Contacto 1 Tel"/>
    <tableColumn id="6" xr3:uid="{3C5854FB-71CF-434D-9D4E-96F7944A2593}" name="Contacto 2 Tel"/>
    <tableColumn id="7" xr3:uid="{D580C30E-F6A2-41C0-9DD2-0CAB0F046429}" name="Dirección"/>
    <tableColumn id="8" xr3:uid="{10A039C5-AA7E-4780-B18A-DB56475639F4}" name="Tip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AE8942-4296-41E7-8A90-E5D40B9544D5}" name="PROP" displayName="PROP" ref="B4:E86" totalsRowShown="0" headerRowBorderDxfId="75" tableBorderDxfId="74">
  <tableColumns count="4">
    <tableColumn id="1" xr3:uid="{BE1D16B7-C430-4767-9B81-37C11884BCC3}" name="Proceso [AÑO + DECRETO]"/>
    <tableColumn id="2" xr3:uid="{B131D78C-4AF7-4DA3-89C2-8A75C422437A}" name="ID PROPONENTE">
      <calculatedColumnFormula>IFERROR(INDEX(Tabla10[ID],MATCH(EVAL_ECO[[#This Row],[NOMBRE DEL PROPONENTE]],Tabla10[Alias],0)),"")</calculatedColumnFormula>
    </tableColumn>
    <tableColumn id="3" xr3:uid="{C12323F8-5E50-419C-A3B8-70CD2CC435F9}" name="NOMBRE DEL PROPONENTE"/>
    <tableColumn id="4" xr3:uid="{6703DDE7-EA55-483D-801C-E878891986F5}" name="ID PROPONENTE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B231DF-E0D7-4A63-9024-72ED5F58A18B}" name="EVAL_ECO" displayName="EVAL_ECO" ref="G4:AA159" totalsRowShown="0" headerRowDxfId="73" tableBorderDxfId="72">
  <autoFilter ref="G4:AA159" xr:uid="{D7B231DF-E0D7-4A63-9024-72ED5F58A18B}"/>
  <sortState xmlns:xlrd2="http://schemas.microsoft.com/office/spreadsheetml/2017/richdata2" ref="G5:AA37">
    <sortCondition ref="J4:J159"/>
  </sortState>
  <tableColumns count="21">
    <tableColumn id="1" xr3:uid="{62FF0038-E427-4DD0-96DB-5B90699D442B}" name="Proceso [AÑO + DECRETO]" dataDxfId="71"/>
    <tableColumn id="2" xr3:uid="{2B8E5D4B-9D54-4470-8EA8-D648D65EBD2D}" name="ID PROPONENTE" dataDxfId="70">
      <calculatedColumnFormula>IFERROR(INDEX(Tabla10[ID],MATCH(EVAL_ECO[[#This Row],[NOMBRE DEL PROPONENTE]],Tabla10[Alias],0)),"")</calculatedColumnFormula>
    </tableColumn>
    <tableColumn id="3" xr3:uid="{1AC2D743-7A2F-4397-85CB-03F6334516E8}" name="NOMBRE DEL PROPONENTE"/>
    <tableColumn id="4" xr3:uid="{444EBACA-0D39-40A0-AB8D-21DEAFC2137D}" name="GRUPO/OBRA" dataDxfId="69"/>
    <tableColumn id="22" xr3:uid="{A2446D31-B11C-4948-B4A0-15503FAA79CE}" name="Columna2" dataDxfId="68"/>
    <tableColumn id="5" xr3:uid="{43E7F5F5-532F-4679-96C0-59F9A7D8A7B1}" name="EVALUACIÓN TÉC"/>
    <tableColumn id="6" xr3:uid="{DD1CC764-432D-4F3B-9182-916E47B63B93}" name="EVALUACIÓN ADM"/>
    <tableColumn id="7" xr3:uid="{FC467C30-B9E3-4890-9439-0ECAF14CA030}" name="CALIFICACIÓN"/>
    <tableColumn id="8" xr3:uid="{52D6FBDA-ED63-4CE0-8757-C6AE304CAE09}" name="VI OFERTADO" dataDxfId="67" dataCellStyle="Moneda [0]"/>
    <tableColumn id="9" xr3:uid="{5511941D-C532-4AE0-AE89-AF583FE3A188}" name="AVI OFERTADO"/>
    <tableColumn id="10" xr3:uid="{EEE2F55C-B1D0-4C78-B702-15D1645B272D}" name="COMA OFERTADO"/>
    <tableColumn id="11" xr3:uid="{AD5CDB62-6E6F-444D-9B76-CDB9015E39EA}" name="VATT OFERTADO"/>
    <tableColumn id="12" xr3:uid="{EE864F55-E73B-4859-A912-E74872C24157}" name="VI Máx"/>
    <tableColumn id="20" xr3:uid="{5A1EC46B-F04B-4949-9639-B0DCC1BEB6DA}" name="VI Máx [reserva]" dataDxfId="66"/>
    <tableColumn id="13" xr3:uid="{B77A6035-BD76-494B-9CD4-5316D378B84F}" name="VATT Máx"/>
    <tableColumn id="21" xr3:uid="{A5628FB4-3EDC-4928-B403-477897DEA1DE}" name="VATT Máx [RESERVA]"/>
    <tableColumn id="14" xr3:uid="{53BC7273-023C-456B-8F09-6F95B25617FF}" name="ESTADO 2"/>
    <tableColumn id="15" xr3:uid="{2CB1AA4A-E5DA-4ADA-B9BA-0A0DA7448957}" name="VI ADJUDICADO"/>
    <tableColumn id="16" xr3:uid="{33F089FD-C5A1-4E98-930D-F553494D13E4}" name="AVI ADJUDICADO" dataDxfId="65"/>
    <tableColumn id="17" xr3:uid="{60AE5466-95C4-49EA-B625-F070BBA6454C}" name="COMA ADJUDICADO" dataDxfId="64"/>
    <tableColumn id="18" xr3:uid="{83756EA8-6FF1-4FCA-8AFC-76DEB42BAFA8}" name="VATT ADJUDICADO" dataDxfId="6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6B1891-7EF2-472E-91F8-A91FBFAB8936}" name="Tabla5" displayName="Tabla5" ref="M4:AC71" totalsRowShown="0" headerRowDxfId="62" tableBorderDxfId="61">
  <autoFilter ref="M4:AC71" xr:uid="{966B1891-7EF2-472E-91F8-A91FBFAB8936}"/>
  <tableColumns count="17">
    <tableColumn id="1" xr3:uid="{FEFA0042-0000-41F0-A2FC-90BF9407A9FA}" name="Adjudicatario" dataDxfId="60"/>
    <tableColumn id="2" xr3:uid="{EBA1DBE1-7CD2-4FA8-84B9-76C9C97BEDE2}" name="Proceso en qué se adjudicó" dataDxfId="59"/>
    <tableColumn id="3" xr3:uid="{19B2D07B-6775-42A0-A400-E608D6B11C08}" name="Fecha Adjudicación" dataDxfId="58"/>
    <tableColumn id="4" xr3:uid="{F23E2E31-5D5F-434D-8042-9627A0DD77F0}" name="N° Decreto_x000a_Adjudicación" dataDxfId="57"/>
    <tableColumn id="5" xr3:uid="{F79D3DE5-A063-4B0D-87D1-9599D7C8C02A}" name="Fecha Decreto Adjudicación" dataDxfId="56"/>
    <tableColumn id="6" xr3:uid="{08129EE6-A604-47F7-B688-64709E093B69}" name="V.I. Ref [MMUSD]" dataDxfId="55"/>
    <tableColumn id="7" xr3:uid="{CC4232E9-5873-417F-9E15-E0EC2900D7E7}" name="Plazo Constructivo_x000a_[meses]" dataDxfId="54"/>
    <tableColumn id="8" xr3:uid="{3C35A632-94DF-46F3-A008-2E39CE6A90FF}" name="V.I. Adj" dataDxfId="53" dataCellStyle="Millares [0]"/>
    <tableColumn id="9" xr3:uid="{6719F1B5-93DF-4997-84CC-2B54761D89AB}" name="V.I. Adj [MMUSD]" dataDxfId="52" dataCellStyle="Millares [0]">
      <calculatedColumnFormula>Tabla1[[#This Row],[V.I. Adj]]/1000000</calculatedColumnFormula>
    </tableColumn>
    <tableColumn id="10" xr3:uid="{1C6DA7BC-1DBC-48A6-A822-CC60160796A8}" name="Código_x000a_Grupo" dataDxfId="51"/>
    <tableColumn id="11" xr3:uid="{6CD2FE10-0872-4C09-AE4A-022C9C65E316}" name="Código_x000a_Subgrupo" dataDxfId="50"/>
    <tableColumn id="12" xr3:uid="{1572AA5C-55EE-4893-BB59-4C996A7E22F8}" name="ID" dataDxfId="49"/>
    <tableColumn id="13" xr3:uid="{A07DF9C9-7700-473C-96C7-3A3A4EDA324E}" name="Relación con otro Decreto" dataDxfId="48"/>
    <tableColumn id="14" xr3:uid="{B7414CA9-70F5-4630-9026-7EE6C2B92028}" name="Fecha Informe Técnico Definitivo (ITD)" dataDxfId="47"/>
    <tableColumn id="15" xr3:uid="{53A606F3-7245-453A-BDB1-DD44D5356C02}" name="Fecha Publicación_x000a_Decreto Exp" dataDxfId="46"/>
    <tableColumn id="16" xr3:uid="{C1E2D38D-8652-4880-BAA4-255B84818073}" name="Fecha Contrato" dataDxfId="45"/>
    <tableColumn id="17" xr3:uid="{8B75AF22-6D31-463A-ACF9-86AA9F33C2FA}" name="Fecha Expediente Autoridades" dataDxfId="4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D7A7E9-05AF-4F1D-BCA8-84D5614A89B1}" name="Tabla1" displayName="Tabla1" ref="A1:AK278" totalsRowCount="1" dataDxfId="43">
  <autoFilter ref="A1:AK277" xr:uid="{4702060F-B770-4B2C-B412-4E8E78F5F699}"/>
  <sortState xmlns:xlrd2="http://schemas.microsoft.com/office/spreadsheetml/2017/richdata2" ref="A2:AK95">
    <sortCondition ref="AF1:AF277"/>
  </sortState>
  <tableColumns count="37">
    <tableColumn id="40" xr3:uid="{6A556363-2C05-41DD-9F8A-766A0EE25B0C}" name="Año" dataDxfId="42">
      <calculatedColumnFormula>+MID(Tabla1[[#This Row],[N° Decreto
Expansión]],1,4)</calculatedColumnFormula>
    </tableColumn>
    <tableColumn id="41" xr3:uid="{64202C4A-FD89-4B86-8730-C6DDBB65115F}" name="Decreto" dataDxfId="41">
      <calculatedColumnFormula>+RIGHT(Tabla1[[#This Row],[N° Decreto
Expansión]],3)</calculatedColumnFormula>
    </tableColumn>
    <tableColumn id="2" xr3:uid="{21BDD5EC-B040-4C41-88E2-4760863ADD79}" name="N° Decreto_x000a_Expansión" totalsRowLabel="Total" dataDxfId="40"/>
    <tableColumn id="3" xr3:uid="{C0A86792-9A40-4B5D-89C8-6170447686DD}" name="Segmento" dataDxfId="39"/>
    <tableColumn id="21" xr3:uid="{0D61F2D3-8E31-4E92-9614-0CCBA9834068}" name="Tipo de Obra" dataDxfId="38"/>
    <tableColumn id="8" xr3:uid="{2282A0FC-2C01-44A1-B843-9C738AD933FF}" name="Tipo de Obras" dataDxfId="37"/>
    <tableColumn id="19" xr3:uid="{9C3AD4BF-D25E-4295-B3DB-34DC7AB5831C}" name="Condicionada" dataDxfId="36"/>
    <tableColumn id="5" xr3:uid="{1A8576FD-D17D-40CA-9DA2-6DCDE9093059}" name="Estado" dataDxfId="35"/>
    <tableColumn id="33" xr3:uid="{9E166E66-D05D-43BE-8B4B-BE0C66FC8CDB}" name="Proceso" totalsRowFunction="count" dataDxfId="34"/>
    <tableColumn id="31" xr3:uid="{15D91E95-F8F6-49F2-B0DE-A4882ECBF8F2}" name="Llamado" dataDxfId="33"/>
    <tableColumn id="34" xr3:uid="{2DC81410-CF87-4554-974E-EB22E92206C4}" name="Tipo de Proyecto" dataDxfId="32">
      <calculatedColumnFormula>+VLOOKUP(#REF!,[1]!Tabla1[[#Data],[#Totals],[ID Proyecto]:[Tipo de Proyecto]],6,0)</calculatedColumnFormula>
    </tableColumn>
    <tableColumn id="20" xr3:uid="{78321007-A95B-4F53-8CD6-A2D68F08A532}" name="Regional" dataDxfId="31"/>
    <tableColumn id="7" xr3:uid="{A1764DF7-D921-4740-8C1F-B13CFDCA2BC4}" name="Región " dataDxfId="30"/>
    <tableColumn id="9" xr3:uid="{D7947714-7699-49EB-BAC8-2D83EF7455AE}" name="Obra" totalsRowFunction="count" dataDxfId="29"/>
    <tableColumn id="10" xr3:uid="{C25146EC-691F-48CD-AA4E-CE5CD86F8024}" name="Adjudicatario" dataDxfId="28"/>
    <tableColumn id="22" xr3:uid="{99A18042-A3BB-4721-B5E9-EC4A82BC73DD}" name="Proceso en qué se adjudicó" dataDxfId="27"/>
    <tableColumn id="1" xr3:uid="{074A01CE-548C-4588-9985-432E852144F6}" name="Fecha Adjudicación" dataDxfId="26"/>
    <tableColumn id="11" xr3:uid="{B5A7DB6B-1470-4BE4-BE6E-271D05D168D5}" name="N° Decreto_x000a_Adjudicación" dataDxfId="25"/>
    <tableColumn id="32" xr3:uid="{B361C894-901F-45A8-A483-241A88D3D37A}" name="Fecha Decreto Adjudicación" dataDxfId="24"/>
    <tableColumn id="12" xr3:uid="{F0ABFEDC-B0CF-400E-A7B0-E8C79F3E2D5C}" name="V.I. Ref [MMUSD]" totalsRowFunction="sum" dataDxfId="23" totalsRowDxfId="22"/>
    <tableColumn id="13" xr3:uid="{875FF9DB-35D1-41A0-AF19-B0C735B187C4}" name="Plazo Constructivo_x000a_[meses]" totalsRowLabel="0" dataDxfId="21" totalsRowDxfId="20"/>
    <tableColumn id="14" xr3:uid="{F527623D-4C5F-410D-B610-8D4B6DB8E1C8}" name="V.I. Adj" totalsRowFunction="sum" dataDxfId="19" totalsRowDxfId="18"/>
    <tableColumn id="35" xr3:uid="{33C2A00A-4F3E-40DC-8198-FC561FF86624}" name="V.I. Adj [MMUSD]" totalsRowFunction="sum" dataDxfId="17" totalsRowDxfId="16" dataCellStyle="Millares [0]">
      <calculatedColumnFormula>Tabla1[[#This Row],[V.I. Adj]]/1000000</calculatedColumnFormula>
    </tableColumn>
    <tableColumn id="24" xr3:uid="{3B91F803-51D0-4C97-93A8-A715063EA7DD}" name="AVI" dataDxfId="15"/>
    <tableColumn id="25" xr3:uid="{242C9D29-4A71-4252-A118-D7D83912190E}" name="COMA" dataDxfId="14"/>
    <tableColumn id="15" xr3:uid="{5F9AB836-62DD-45B6-A88A-521E36958B41}" name="VATT_x000a_Adj" dataDxfId="13"/>
    <tableColumn id="16" xr3:uid="{A4F2CC0F-1FCD-44D7-BA8C-64142AC6C5D1}" name="Periodo" dataDxfId="12"/>
    <tableColumn id="23" xr3:uid="{1C7FF70F-2D7F-452E-967E-31A16220AC01}" name="Tasa" dataDxfId="11"/>
    <tableColumn id="17" xr3:uid="{0342EEC0-1B58-411B-AC18-9B4D803537C1}" name="Propietario" dataDxfId="10"/>
    <tableColumn id="36" xr3:uid="{2790A65B-A07C-4FAA-B8AC-7078F759ECC7}" name="Código_x000a_Grupo" dataDxfId="9"/>
    <tableColumn id="37" xr3:uid="{52C56AC2-42D6-442C-AC35-41DA4EF89322}" name="Código_x000a_Subgrupo" dataDxfId="8"/>
    <tableColumn id="38" xr3:uid="{48A60F0C-9038-41E8-B4AE-9495CCC87C60}" name="ID" dataDxfId="7"/>
    <tableColumn id="39" xr3:uid="{4DC8BF3A-7B71-47C8-8AD6-BC4053B18E14}" name="Relación con otro Decreto" dataDxfId="6" totalsRowDxfId="5"/>
    <tableColumn id="26" xr3:uid="{B796D728-2C22-420D-9C2D-2FC06A0E5185}" name="Fecha Informe Técnico Definitivo (ITD)" dataDxfId="4"/>
    <tableColumn id="27" xr3:uid="{A3AC944A-DD31-42B0-9A0A-3E5C6FA55505}" name="Fecha Publicación_x000a_Decreto Exp" dataDxfId="3"/>
    <tableColumn id="29" xr3:uid="{6388BEA2-C846-43A2-8388-570514E8BE42}" name="Fecha Contrato" dataDxfId="2"/>
    <tableColumn id="30" xr3:uid="{570ACF67-C597-4ED6-8FAE-1380820E8284}" name="Fecha Expediente Autoridades" dataDxfId="1" totalsRowDxfId="0"/>
  </tableColumns>
  <tableStyleInfo name="TableStyleLight9" showFirstColumn="0" showLastColumn="1" showRowStripes="0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160" dT="2022-01-26T21:09:05.97" personId="{DBCC88F6-5814-4AE0-8A03-61F2482D5455}" id="{3AE414DF-F342-4089-9E65-BBD371FD814F}">
    <text>@Grace Karen León Anabalón @Carlos Alberto Campos Sánchez Colegas, favor revisar estas fechas. Hoy en Agenda Publica detectamos inconsistencia para estos datos.</text>
    <mentions>
      <mention mentionpersonId="{6C4A59C3-13E7-4330-A9BF-097E1ADD6B34}" mentionId="{F86FBA92-FB81-4035-AF65-9E63EDB798E9}" startIndex="0" length="26"/>
      <mention mentionpersonId="{EA41B2DE-3A91-4CD4-A2BB-DBC6EC55DF1D}" mentionId="{070C94FB-A10A-4719-9938-DB3CE1742047}" startIndex="27" length="30"/>
    </mentions>
  </threadedComment>
  <threadedComment ref="S160" dT="2022-01-31T18:35:17.00" personId="{67EC178E-ADB0-40FB-A02D-3A84590D9674}" id="{EB47DE41-3AE6-4F07-8C1C-D7A410835040}" parentId="{3AE414DF-F342-4089-9E65-BBD371FD814F}">
    <text>Corregido ;)</text>
  </threadedComment>
  <threadedComment ref="R180" dT="2022-02-09T18:17:48.28" personId="{DBCC88F6-5814-4AE0-8A03-61F2482D5455}" id="{A6B194E7-1F2F-4360-98DF-1721B8C558F1}">
    <text>@Carolina Silva Ortiz de Zarate Favor revisemos las fechas pendientes. Ahora estoy en agenda pública y bsalieron consultas sobre estas fechas.</text>
    <mentions>
      <mention mentionpersonId="{77F4112F-E06B-411F-B635-4FB630D8DCBF}" mentionId="{EC1C636D-38C5-4BBD-9664-9D5103CD4BCA}" startIndex="0" length="31"/>
    </mentions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8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6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9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4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7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6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0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9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6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4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7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0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5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5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3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8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6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0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9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9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4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7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0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5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3" Type="http://schemas.openxmlformats.org/officeDocument/2006/relationships/table" Target="../tables/table7.xml"/><Relationship Id="rId8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7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5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3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8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7" Type="http://schemas.openxmlformats.org/officeDocument/2006/relationships/hyperlink" Target="../../../../../../diego.huarapil/AppData/Local/Microsoft/Windows/diego.huarapil/AppData/Desktop/Nueva%20carpeta%20(3)/04_Decretos%20Adjudicaci&#243;n/2018.11.30%20Decreto%2010T%20R&#237;o%20Malleco%20-%20Transelec.pdf" TargetMode="External"/><Relationship Id="rId63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68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84" Type="http://schemas.openxmlformats.org/officeDocument/2006/relationships/hyperlink" Target="../../../../../../diego.huarapil/AppData/Local/Microsoft/Windows/diego.huarapil/AppData/Desktop/Nueva%20carpeta%20(3)/03_Decretos%20Expansi&#243;n/2019%20Decreto%20Exento%20N&#176;231.pdf" TargetMode="External"/><Relationship Id="rId89" Type="http://schemas.openxmlformats.org/officeDocument/2006/relationships/comments" Target="../comments1.xml"/><Relationship Id="rId16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7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53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58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4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9" Type="http://schemas.openxmlformats.org/officeDocument/2006/relationships/hyperlink" Target="../../../../../../diego.huarapil/AppData/Local/Microsoft/Windows/diego.huarapil/AppData/Desktop/Nueva%20carpeta%20(3)/03_Decretos%20Expansi&#243;n/2019%20Decreto%20Exento%20N&#176;198.pdf" TargetMode="External"/><Relationship Id="rId5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90" Type="http://schemas.microsoft.com/office/2017/10/relationships/threadedComment" Target="../threadedComments/threadedComment1.xml"/><Relationship Id="rId14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7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0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5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3" Type="http://schemas.openxmlformats.org/officeDocument/2006/relationships/hyperlink" Target="../../../../../../diego.huarapil/AppData/Local/Microsoft/Windows/diego.huarapil/AppData/Desktop/Nueva%20carpeta%20(3)/04_Decretos%20Adjudicaci&#243;n/2018.11.30%20Decreto%2014T%20Algarrobal%20-%20Engie.pdf" TargetMode="External"/><Relationship Id="rId48" Type="http://schemas.openxmlformats.org/officeDocument/2006/relationships/hyperlink" Target="../../../../../../diego.huarapil/AppData/Local/Microsoft/Windows/diego.huarapil/AppData/Desktop/Nueva%20carpeta%20(3)/04_Decretos%20Adjudicaci&#243;n/2018.11.30%20Decreto%2011T%20Frutillar%20Norte%20-%20Transelec.pdf" TargetMode="External"/><Relationship Id="rId56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64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69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7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8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51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2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80" Type="http://schemas.openxmlformats.org/officeDocument/2006/relationships/hyperlink" Target="../../../../../../diego.huarapil/AppData/Local/Microsoft/Windows/diego.huarapil/AppData/Desktop/Nueva%20carpeta%20(3)/03_Decretos%20Expansi&#243;n/2019%20Decreto%20Exento%20N&#176;231.pdf" TargetMode="External"/><Relationship Id="rId85" Type="http://schemas.openxmlformats.org/officeDocument/2006/relationships/hyperlink" Target="../../../../../../diego.huarapil/AppData/Local/Microsoft/Windows/diego.huarapil/AppData/Desktop/Nueva%20carpeta%20(3)/03_Decretos%20Expansi&#243;n/2019%20Decreto%20Exento%20N&#176;231.pdf" TargetMode="External"/><Relationship Id="rId3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7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5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3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8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6" Type="http://schemas.openxmlformats.org/officeDocument/2006/relationships/hyperlink" Target="../../../../../../diego.huarapil/AppData/Local/Microsoft/Windows/diego.huarapil/AppData/Desktop/Nueva%20carpeta%20(3)/04_Decretos%20Adjudicaci&#243;n/2018.11.30%20Decreto%2016T%20R&#237;o%20Tolten%20-%20Saesa.pdf" TargetMode="External"/><Relationship Id="rId59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67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20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54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62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0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5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83" Type="http://schemas.openxmlformats.org/officeDocument/2006/relationships/hyperlink" Target="../../../../../../diego.huarapil/AppData/Local/Microsoft/Windows/diego.huarapil/AppData/Desktop/Nueva%20carpeta%20(3)/03_Decretos%20Expansi&#243;n/2019%20Decreto%20Exento%20N&#176;198.pdf" TargetMode="External"/><Relationship Id="rId88" Type="http://schemas.openxmlformats.org/officeDocument/2006/relationships/table" Target="../tables/table8.xml"/><Relationship Id="rId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6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5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3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8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6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9" Type="http://schemas.openxmlformats.org/officeDocument/2006/relationships/hyperlink" Target="../../../../../../diego.huarapil/AppData/Local/Microsoft/Windows/diego.huarapil/AppData/Desktop/Nueva%20carpeta%20(3)/04_Decretos%20Adjudicaci&#243;n/2018.11.30%20Decreto%2015T%20Nva%20Chuquicamata%20-%20Engie.pdf" TargetMode="External"/><Relationship Id="rId57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10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1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4" Type="http://schemas.openxmlformats.org/officeDocument/2006/relationships/hyperlink" Target="../../../../../../diego.huarapil/AppData/Local/Microsoft/Windows/diego.huarapil/AppData/Desktop/Nueva%20carpeta%20(3)/04_Decretos%20Adjudicaci&#243;n/2018.11.30%20Decreto%2018T%20Pan%20de%20Azucar%20Nva%20Pelambres%20-%20Ferrovial.pdf" TargetMode="External"/><Relationship Id="rId52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60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65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3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8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81" Type="http://schemas.openxmlformats.org/officeDocument/2006/relationships/hyperlink" Target="../../../../../../diego.huarapil/AppData/Local/Microsoft/Windows/diego.huarapil/AppData/Desktop/Nueva%20carpeta%20(3)/03_Decretos%20Expansi&#243;n/2017%20Decreto%20Exento%20N&#176;422.pdf" TargetMode="External"/><Relationship Id="rId86" Type="http://schemas.openxmlformats.org/officeDocument/2006/relationships/printerSettings" Target="../printerSettings/printerSettings3.bin"/><Relationship Id="rId4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9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3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18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9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34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50" Type="http://schemas.openxmlformats.org/officeDocument/2006/relationships/hyperlink" Target="../../../../../../diego.huarapil/AppData/Local/Microsoft/Windows/diego.huarapil/AppData/Desktop/Nueva%20carpeta%20(3)/04_Decretos%20Adjudicaci&#243;n/2018.11.30%20Decreto%2017T%20Nva%20Pto%20Montt%20Nva%20Ancud%20-%20Transelec%20Holdings.pdf" TargetMode="External"/><Relationship Id="rId55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6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7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71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2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9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24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0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Relationship Id="rId45" Type="http://schemas.openxmlformats.org/officeDocument/2006/relationships/hyperlink" Target="../../../../../../diego.huarapil/AppData/Local/Microsoft/Windows/diego.huarapil/AppData/Desktop/Nueva%20carpeta%20(3)/04_Decretos%20Adjudicaci&#243;n/2018.11.30%20Decreto%2013T%20El%20Rosal%20-%20Engie.pdf" TargetMode="External"/><Relationship Id="rId66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87" Type="http://schemas.openxmlformats.org/officeDocument/2006/relationships/vmlDrawing" Target="../drawings/vmlDrawing1.vml"/><Relationship Id="rId61" Type="http://schemas.openxmlformats.org/officeDocument/2006/relationships/hyperlink" Target="../../../../../../diego.huarapil/AppData/Local/Microsoft/Windows/diego.huarapil/AppData/Desktop/Nueva%20carpeta%20(3)/04_Decretos%20Adjudicaci&#243;n/2019.09.02%20Decreto%205T%20Obras%20Nuevas%20Zonales.pdf" TargetMode="External"/><Relationship Id="rId82" Type="http://schemas.openxmlformats.org/officeDocument/2006/relationships/hyperlink" Target="../../../../../../diego.huarapil/AppData/Local/Microsoft/Windows/diego.huarapil/AppData/Desktop/Nueva%20carpeta%20(3)/03_Decretos%20Expansi&#243;n/2019%20Decreto%20Exento%20N&#176;231.pdf" TargetMode="External"/><Relationship Id="rId19" Type="http://schemas.openxmlformats.org/officeDocument/2006/relationships/hyperlink" Target="../../../../../../diego.huarapil/AppData/Local/Microsoft/Windows/diego.huarapil/AppData/Desktop/Nueva%20carpeta%20(3)/04_Decretos%20Adjudicaci&#243;n/2019.07.27%20D19T%20Adjudicaci&#243;n%20Obras%20Ampliaci&#243;n%20D4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7D25E-C29A-4636-AF66-18A32987179B}">
  <sheetPr codeName="Hoja1"/>
  <dimension ref="A1:BC274"/>
  <sheetViews>
    <sheetView topLeftCell="V64" zoomScale="85" zoomScaleNormal="85" workbookViewId="0">
      <selection activeCell="AA82" sqref="AA82"/>
    </sheetView>
  </sheetViews>
  <sheetFormatPr baseColWidth="10" defaultRowHeight="15" x14ac:dyDescent="0.25"/>
  <cols>
    <col min="1" max="1" width="4.140625" bestFit="1" customWidth="1"/>
    <col min="2" max="2" width="45.85546875" customWidth="1"/>
    <col min="3" max="3" width="11.28515625" hidden="1" customWidth="1"/>
    <col min="4" max="4" width="14.42578125" hidden="1" customWidth="1"/>
    <col min="5" max="5" width="10.5703125" hidden="1" customWidth="1"/>
    <col min="6" max="6" width="11.5703125" style="5" hidden="1" customWidth="1"/>
    <col min="7" max="7" width="17.42578125" style="5" hidden="1" customWidth="1"/>
    <col min="8" max="8" width="49.28515625" customWidth="1"/>
    <col min="9" max="9" width="37.85546875" hidden="1" customWidth="1"/>
    <col min="10" max="11" width="23.28515625" hidden="1" customWidth="1"/>
    <col min="12" max="14" width="0" hidden="1" customWidth="1"/>
    <col min="15" max="15" width="16.28515625" style="13" hidden="1" customWidth="1"/>
    <col min="16" max="16" width="15.42578125" style="13" hidden="1" customWidth="1"/>
    <col min="17" max="17" width="16.140625" style="13" hidden="1" customWidth="1"/>
    <col min="18" max="18" width="16.5703125" style="13" hidden="1" customWidth="1"/>
    <col min="19" max="19" width="15.5703125" hidden="1" customWidth="1"/>
    <col min="20" max="20" width="11.28515625" hidden="1" customWidth="1"/>
    <col min="21" max="21" width="0" hidden="1" customWidth="1"/>
    <col min="22" max="22" width="20.85546875" customWidth="1"/>
    <col min="23" max="23" width="21" customWidth="1"/>
    <col min="25" max="25" width="31.42578125" customWidth="1"/>
    <col min="26" max="26" width="22.28515625" customWidth="1"/>
    <col min="27" max="27" width="28.42578125" customWidth="1"/>
    <col min="28" max="28" width="18.5703125" customWidth="1"/>
    <col min="29" max="29" width="24.140625" style="117" bestFit="1" customWidth="1"/>
    <col min="30" max="30" width="22.5703125" style="13" customWidth="1"/>
    <col min="31" max="31" width="69.85546875" style="106" bestFit="1" customWidth="1"/>
    <col min="32" max="32" width="9.42578125" bestFit="1" customWidth="1"/>
    <col min="33" max="33" width="18.7109375" style="117" bestFit="1" customWidth="1"/>
    <col min="34" max="34" width="25.28515625" style="151" customWidth="1"/>
    <col min="35" max="35" width="25.140625" style="106" customWidth="1"/>
    <col min="36" max="36" width="17.42578125" bestFit="1" customWidth="1"/>
    <col min="37" max="37" width="18.85546875" style="117" customWidth="1"/>
    <col min="38" max="38" width="29" customWidth="1"/>
    <col min="39" max="39" width="15.7109375" customWidth="1"/>
    <col min="40" max="40" width="69.85546875" bestFit="1" customWidth="1"/>
    <col min="41" max="41" width="25.5703125" hidden="1" customWidth="1"/>
    <col min="42" max="42" width="38.42578125" hidden="1" customWidth="1"/>
    <col min="43" max="43" width="15.85546875" hidden="1" customWidth="1"/>
    <col min="44" max="44" width="22" hidden="1" customWidth="1"/>
    <col min="45" max="45" width="15.140625" hidden="1" customWidth="1"/>
    <col min="46" max="46" width="15.85546875" hidden="1" customWidth="1"/>
    <col min="47" max="47" width="22.85546875" bestFit="1" customWidth="1"/>
    <col min="48" max="48" width="21.5703125" customWidth="1"/>
    <col min="49" max="49" width="18" customWidth="1"/>
    <col min="50" max="50" width="29.7109375" customWidth="1"/>
  </cols>
  <sheetData>
    <row r="1" spans="1:55" ht="15.75" thickBot="1" x14ac:dyDescent="0.3">
      <c r="A1" s="117"/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3"/>
      <c r="W1" s="106"/>
      <c r="X1" s="117"/>
      <c r="Y1" s="106"/>
      <c r="Z1" s="106"/>
      <c r="AB1" s="117"/>
      <c r="AC1"/>
      <c r="AD1"/>
      <c r="AE1"/>
      <c r="AG1"/>
      <c r="AH1"/>
      <c r="AI1"/>
      <c r="AK1"/>
    </row>
    <row r="2" spans="1:55" ht="93.6" customHeight="1" thickBot="1" x14ac:dyDescent="0.3">
      <c r="A2" s="163" t="s">
        <v>129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5"/>
      <c r="V2" s="119" t="s">
        <v>130</v>
      </c>
      <c r="W2" s="166"/>
      <c r="X2" s="120"/>
      <c r="Y2" s="120"/>
      <c r="Z2" s="120"/>
      <c r="AA2" s="120"/>
      <c r="AB2" s="121"/>
      <c r="AC2" s="167"/>
      <c r="AD2" s="167"/>
      <c r="AE2" s="167"/>
      <c r="AF2" s="167"/>
      <c r="AG2" s="167"/>
      <c r="AH2" s="167"/>
      <c r="AI2" s="167"/>
      <c r="AJ2" s="168"/>
      <c r="AK2" s="16" t="s">
        <v>152</v>
      </c>
      <c r="AL2" s="169" t="s">
        <v>153</v>
      </c>
      <c r="AM2" s="170"/>
    </row>
    <row r="3" spans="1:55" s="1" customFormat="1" ht="45" x14ac:dyDescent="0.25">
      <c r="A3" s="4" t="s">
        <v>6</v>
      </c>
      <c r="B3" s="1" t="s">
        <v>1309</v>
      </c>
      <c r="C3" s="2" t="s">
        <v>0</v>
      </c>
      <c r="D3" s="2" t="s">
        <v>1</v>
      </c>
      <c r="E3" s="2" t="s">
        <v>142</v>
      </c>
      <c r="F3" s="2" t="s">
        <v>7</v>
      </c>
      <c r="G3" s="2" t="s">
        <v>14</v>
      </c>
      <c r="H3" s="2" t="s">
        <v>1520</v>
      </c>
      <c r="I3" s="2" t="s">
        <v>11</v>
      </c>
      <c r="J3" s="2" t="s">
        <v>2</v>
      </c>
      <c r="K3" s="2" t="s">
        <v>1519</v>
      </c>
      <c r="L3" s="2" t="s">
        <v>3</v>
      </c>
      <c r="M3" s="2" t="s">
        <v>4</v>
      </c>
      <c r="N3" s="2" t="s">
        <v>20</v>
      </c>
      <c r="O3" s="2" t="s">
        <v>8</v>
      </c>
      <c r="P3" s="2" t="s">
        <v>9</v>
      </c>
      <c r="Q3" s="2" t="s">
        <v>10</v>
      </c>
      <c r="R3" s="4" t="s">
        <v>12</v>
      </c>
      <c r="S3" s="2" t="s">
        <v>5</v>
      </c>
      <c r="T3" s="8" t="s">
        <v>43</v>
      </c>
      <c r="U3" s="8" t="s">
        <v>19</v>
      </c>
      <c r="V3" s="3" t="s">
        <v>13</v>
      </c>
      <c r="W3" s="3" t="s">
        <v>159</v>
      </c>
      <c r="X3" s="3" t="s">
        <v>1328</v>
      </c>
      <c r="Y3" s="3" t="s">
        <v>1329</v>
      </c>
      <c r="Z3" s="3" t="s">
        <v>1330</v>
      </c>
      <c r="AA3" s="3" t="s">
        <v>1331</v>
      </c>
      <c r="AB3" s="3" t="s">
        <v>208</v>
      </c>
      <c r="AC3" s="10" t="s">
        <v>145</v>
      </c>
      <c r="AD3" s="10" t="s">
        <v>146</v>
      </c>
      <c r="AE3" s="10" t="s">
        <v>151</v>
      </c>
      <c r="AF3" s="10" t="s">
        <v>1332</v>
      </c>
      <c r="AG3" s="10" t="s">
        <v>1222</v>
      </c>
      <c r="AH3" s="10" t="s">
        <v>147</v>
      </c>
      <c r="AI3" s="10" t="s">
        <v>148</v>
      </c>
      <c r="AJ3" s="10" t="s">
        <v>149</v>
      </c>
      <c r="AK3" s="10" t="s">
        <v>150</v>
      </c>
      <c r="AL3" s="10" t="s">
        <v>156</v>
      </c>
      <c r="AM3" s="9" t="s">
        <v>157</v>
      </c>
      <c r="AN3" s="9" t="s">
        <v>158</v>
      </c>
      <c r="AU3"/>
    </row>
    <row r="4" spans="1:55" ht="16.5" customHeight="1" x14ac:dyDescent="0.25">
      <c r="A4">
        <v>1</v>
      </c>
      <c r="B4" t="s">
        <v>1419</v>
      </c>
      <c r="C4">
        <f>IFERROR(INDEX(Tabla6[AÑO],MATCH(B4,Tabla6[Alias],0)),"")</f>
        <v>2017</v>
      </c>
      <c r="D4">
        <f>IFERROR(INDEX(Tabla6[DECRETO],MATCH(B4,Tabla6[Alias],0)),"")</f>
        <v>418</v>
      </c>
      <c r="E4" s="6">
        <f>IFERROR(INDEX(Tabla6[Fecha de Promulgación],MATCH(B4,Tabla6[Alias],0)),"")</f>
        <v>42920</v>
      </c>
      <c r="F4">
        <f>IFERROR(INDEX(Tabla6[Tabla],MATCH(B4,Tabla6[Alias],0)),"")</f>
        <v>13</v>
      </c>
      <c r="G4" s="5" t="str">
        <f>IFERROR(INDEX(Tabla6[Sistema],MATCH(B4,Tabla6[Alias],0)),"")</f>
        <v>A</v>
      </c>
      <c r="H4" s="5" t="str">
        <f>IFERROR(INDEX(Tabla6[ID_OBRA],MATCH(B4,Tabla6[Alias],0)),"")</f>
        <v>17_418_Z_OA_01</v>
      </c>
      <c r="I4" t="str">
        <f>IFERROR(INDEX(Tabla6[Nombre Obra],MATCH(B4,Tabla6[Alias],0)),"")</f>
        <v>Ampliación en S/E Parinacota</v>
      </c>
      <c r="J4" t="str">
        <f>IFERROR(INDEX(Tabla6[Segmento],MATCH(B4,Tabla6[Alias],0)),"")</f>
        <v>ZONAL</v>
      </c>
      <c r="K4">
        <f>IFERROR(INDEX(Tabla6[Region],MATCH(B4,Tabla6[Alias],0)),"")</f>
        <v>0</v>
      </c>
      <c r="L4" s="13" t="str">
        <f>IFERROR(INDEX(Tabla6[Tipo de Obra],MATCH(B4,Tabla6[Alias],0))," ")</f>
        <v>OA</v>
      </c>
      <c r="M4" s="13" t="str">
        <f>IFERROR(INDEX(Tabla6[Tipo de Obras],MATCH(B4,Tabla6[Alias],0))," ")</f>
        <v>S/E</v>
      </c>
      <c r="N4" s="13">
        <f>IFERROR(INDEX(Tabla6[Plazo constructivo],MATCH(B4,Tabla6[Alias],0))," ")</f>
        <v>18</v>
      </c>
      <c r="O4" s="14">
        <f>IFERROR(INDEX(Tabla6[Fecha EO],MATCH(B4,Tabla6[Alias],0))," ")</f>
        <v>43617</v>
      </c>
      <c r="P4" s="95">
        <f>IFERROR(INDEX(Tabla6[AVI REF],MATCH(B4,Tabla6[Alias],0))," ")</f>
        <v>177600</v>
      </c>
      <c r="Q4" s="95">
        <f>IFERROR(INDEX(Tabla6[COMA REF],MATCH(B4,Tabla6[Alias],0))," ")</f>
        <v>28200</v>
      </c>
      <c r="R4" s="95">
        <f>IFERROR(INDEX(Tabla6[VATT REF '[AVI + COMA']],MATCH(B4,Tabla6[Alias],0))," ")</f>
        <v>205800</v>
      </c>
      <c r="S4" t="str">
        <f>IFERROR(INDEX(Tabla6[Propietario],MATCH(B4,Tabla6[Alias],0))," ")</f>
        <v>CGE S.A.</v>
      </c>
      <c r="T4" t="s">
        <v>44</v>
      </c>
      <c r="V4" s="143" t="s">
        <v>176</v>
      </c>
      <c r="W4" s="13" t="s">
        <v>155</v>
      </c>
      <c r="X4" s="5" t="s">
        <v>104</v>
      </c>
      <c r="Z4" s="122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1_PROC_OA_17_G01</v>
      </c>
      <c r="AA4" s="151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4" s="25" t="s">
        <v>209</v>
      </c>
      <c r="AC4" s="5"/>
      <c r="AD4" s="5"/>
      <c r="AE4" s="123" t="s">
        <v>1280</v>
      </c>
      <c r="AF4" s="94" t="str">
        <f>IFERROR(INDEX(Tabla10[ID],MATCH(BASE_GRAL[[#This Row],[EMPRESA ADJUDICADA]],Tabla10[Alias],0)),"")</f>
        <v>PROP_10</v>
      </c>
      <c r="AG4" s="94">
        <v>43287</v>
      </c>
      <c r="AH4" s="95">
        <v>6103918.0000000009</v>
      </c>
      <c r="AI4" s="5"/>
      <c r="AJ4" s="1">
        <v>0</v>
      </c>
      <c r="AK4" s="1">
        <f>+BASE_GRAL[[#This Row],[COMA ADJUDICADO]]+BASE_GRAL[[#This Row],[AVI ADJUDICADO]]</f>
        <v>0</v>
      </c>
      <c r="AL4" s="124" t="s">
        <v>1223</v>
      </c>
      <c r="AM4" s="1" t="s">
        <v>316</v>
      </c>
      <c r="AN4" s="93">
        <v>43673</v>
      </c>
    </row>
    <row r="5" spans="1:55" ht="16.5" customHeight="1" x14ac:dyDescent="0.25">
      <c r="A5">
        <v>2</v>
      </c>
      <c r="B5" t="s">
        <v>1420</v>
      </c>
      <c r="C5">
        <f>IFERROR(INDEX(Tabla6[AÑO],MATCH(B5,Tabla6[Alias],0)),"")</f>
        <v>2017</v>
      </c>
      <c r="D5">
        <f>IFERROR(INDEX(Tabla6[DECRETO],MATCH(B5,Tabla6[Alias],0)),"")</f>
        <v>418</v>
      </c>
      <c r="E5" s="6">
        <f>IFERROR(INDEX(Tabla6[Fecha de Promulgación],MATCH(B5,Tabla6[Alias],0)),"")</f>
        <v>42920</v>
      </c>
      <c r="F5">
        <f>IFERROR(INDEX(Tabla6[Tabla],MATCH(B5,Tabla6[Alias],0)),"")</f>
        <v>13</v>
      </c>
      <c r="G5" s="5" t="str">
        <f>IFERROR(INDEX(Tabla6[Sistema],MATCH(B5,Tabla6[Alias],0)),"")</f>
        <v>A</v>
      </c>
      <c r="H5" s="5" t="str">
        <f>IFERROR(INDEX(Tabla6[ID_OBRA],MATCH(B5,Tabla6[Alias],0)),"")</f>
        <v>17_418_Z_OA_02</v>
      </c>
      <c r="I5" t="str">
        <f>IFERROR(INDEX(Tabla6[Nombre Obra],MATCH(B5,Tabla6[Alias],0)),"")</f>
        <v>Ampliación en S/E Cóndores</v>
      </c>
      <c r="J5" t="str">
        <f>IFERROR(INDEX(Tabla6[Segmento],MATCH(B5,Tabla6[Alias],0)),"")</f>
        <v>ZONAL</v>
      </c>
      <c r="K5">
        <f>IFERROR(INDEX(Tabla6[Region],MATCH(B5,Tabla6[Alias],0)),"")</f>
        <v>0</v>
      </c>
      <c r="L5" s="13" t="str">
        <f>IFERROR(INDEX(Tabla6[Tipo de Obra],MATCH(B5,Tabla6[Alias],0))," ")</f>
        <v>OA</v>
      </c>
      <c r="M5" s="13" t="str">
        <f>IFERROR(INDEX(Tabla6[Tipo de Obras],MATCH(B5,Tabla6[Alias],0))," ")</f>
        <v>S/E</v>
      </c>
      <c r="N5" s="13">
        <f>IFERROR(INDEX(Tabla6[Plazo constructivo],MATCH(B5,Tabla6[Alias],0))," ")</f>
        <v>18</v>
      </c>
      <c r="O5" s="14">
        <f>IFERROR(INDEX(Tabla6[Fecha EO],MATCH(B5,Tabla6[Alias],0))," ")</f>
        <v>43617</v>
      </c>
      <c r="P5" s="95">
        <f>IFERROR(INDEX(Tabla6[AVI REF],MATCH(B5,Tabla6[Alias],0))," ")</f>
        <v>202400</v>
      </c>
      <c r="Q5" s="95">
        <f>IFERROR(INDEX(Tabla6[COMA REF],MATCH(B5,Tabla6[Alias],0))," ")</f>
        <v>32100</v>
      </c>
      <c r="R5" s="95">
        <f>IFERROR(INDEX(Tabla6[VATT REF '[AVI + COMA']],MATCH(B5,Tabla6[Alias],0))," ")</f>
        <v>234500</v>
      </c>
      <c r="S5" t="str">
        <f>IFERROR(INDEX(Tabla6[Propietario],MATCH(B5,Tabla6[Alias],0))," ")</f>
        <v>CGE S.A.</v>
      </c>
      <c r="T5" t="s">
        <v>44</v>
      </c>
      <c r="V5" s="143" t="s">
        <v>176</v>
      </c>
      <c r="W5" s="13" t="s">
        <v>155</v>
      </c>
      <c r="X5" s="5" t="s">
        <v>104</v>
      </c>
      <c r="Z5" s="122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1_PROC_OA_17_G01</v>
      </c>
      <c r="AA5" s="151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5" s="25" t="s">
        <v>210</v>
      </c>
      <c r="AC5" s="5"/>
      <c r="AD5" s="5"/>
      <c r="AE5" s="123" t="s">
        <v>1280</v>
      </c>
      <c r="AF5" s="94" t="str">
        <f>IFERROR(INDEX(Tabla10[ID],MATCH(BASE_GRAL[[#This Row],[EMPRESA ADJUDICADA]],Tabla10[Alias],0)),"")</f>
        <v>PROP_10</v>
      </c>
      <c r="AG5" s="94">
        <v>43287</v>
      </c>
      <c r="AH5" s="95">
        <v>5955309</v>
      </c>
      <c r="AI5" s="5"/>
      <c r="AJ5" s="5">
        <v>0</v>
      </c>
      <c r="AK5">
        <f>+BASE_GRAL[[#This Row],[COMA ADJUDICADO]]+BASE_GRAL[[#This Row],[AVI ADJUDICADO]]</f>
        <v>0</v>
      </c>
      <c r="AL5" s="124" t="s">
        <v>1223</v>
      </c>
      <c r="AM5" s="13" t="s">
        <v>316</v>
      </c>
      <c r="AN5" s="94">
        <v>43673</v>
      </c>
      <c r="AO5" s="1"/>
      <c r="AP5" s="1"/>
      <c r="AQ5" s="1"/>
      <c r="AR5" s="1"/>
      <c r="AS5" s="1"/>
      <c r="AT5" s="1"/>
      <c r="AV5" s="1"/>
      <c r="AW5" s="1"/>
      <c r="AX5" s="1"/>
      <c r="AY5" s="1"/>
      <c r="AZ5" s="1"/>
      <c r="BA5" s="1"/>
      <c r="BB5" s="1"/>
      <c r="BC5" s="1"/>
    </row>
    <row r="6" spans="1:55" s="135" customFormat="1" ht="16.5" customHeight="1" x14ac:dyDescent="0.25">
      <c r="A6" s="135">
        <v>3</v>
      </c>
      <c r="B6" t="s">
        <v>1421</v>
      </c>
      <c r="C6">
        <f>IFERROR(INDEX(Tabla6[AÑO],MATCH(B6,Tabla6[Alias],0)),"")</f>
        <v>2017</v>
      </c>
      <c r="D6">
        <f>IFERROR(INDEX(Tabla6[DECRETO],MATCH(B6,Tabla6[Alias],0)),"")</f>
        <v>418</v>
      </c>
      <c r="E6" s="6">
        <f>IFERROR(INDEX(Tabla6[Fecha de Promulgación],MATCH(B6,Tabla6[Alias],0)),"")</f>
        <v>42920</v>
      </c>
      <c r="F6">
        <f>IFERROR(INDEX(Tabla6[Tabla],MATCH(B6,Tabla6[Alias],0)),"")</f>
        <v>13</v>
      </c>
      <c r="G6" s="5" t="str">
        <f>IFERROR(INDEX(Tabla6[Sistema],MATCH(B6,Tabla6[Alias],0)),"")</f>
        <v>A</v>
      </c>
      <c r="H6" s="5" t="str">
        <f>IFERROR(INDEX(Tabla6[ID_OBRA],MATCH(B6,Tabla6[Alias],0)),"")</f>
        <v>17_418_Z_OA_03</v>
      </c>
      <c r="I6" t="str">
        <f>IFERROR(INDEX(Tabla6[Nombre Obra],MATCH(B6,Tabla6[Alias],0)),"")</f>
        <v>Ampliación en S/E Calama</v>
      </c>
      <c r="J6" t="str">
        <f>IFERROR(INDEX(Tabla6[Segmento],MATCH(B6,Tabla6[Alias],0)),"")</f>
        <v>ZONAL</v>
      </c>
      <c r="K6">
        <f>IFERROR(INDEX(Tabla6[Region],MATCH(B6,Tabla6[Alias],0)),"")</f>
        <v>0</v>
      </c>
      <c r="L6" s="13" t="str">
        <f>IFERROR(INDEX(Tabla6[Tipo de Obra],MATCH(B6,Tabla6[Alias],0))," ")</f>
        <v>OA</v>
      </c>
      <c r="M6" s="13" t="str">
        <f>IFERROR(INDEX(Tabla6[Tipo de Obras],MATCH(B6,Tabla6[Alias],0))," ")</f>
        <v>S/E</v>
      </c>
      <c r="N6" s="13">
        <f>IFERROR(INDEX(Tabla6[Plazo constructivo],MATCH(B6,Tabla6[Alias],0))," ")</f>
        <v>18</v>
      </c>
      <c r="O6" s="14">
        <f>IFERROR(INDEX(Tabla6[Fecha EO],MATCH(B6,Tabla6[Alias],0))," ")</f>
        <v>43617</v>
      </c>
      <c r="P6" s="95">
        <f>IFERROR(INDEX(Tabla6[AVI REF],MATCH(B6,Tabla6[Alias],0))," ")</f>
        <v>534800</v>
      </c>
      <c r="Q6" s="95">
        <f>IFERROR(INDEX(Tabla6[COMA REF],MATCH(B6,Tabla6[Alias],0))," ")</f>
        <v>84800</v>
      </c>
      <c r="R6" s="95">
        <f>IFERROR(INDEX(Tabla6[VATT REF '[AVI + COMA']],MATCH(B6,Tabla6[Alias],0))," ")</f>
        <v>619600</v>
      </c>
      <c r="S6" t="str">
        <f>IFERROR(INDEX(Tabla6[Propietario],MATCH(B6,Tabla6[Alias],0))," ")</f>
        <v>CGE S.A.</v>
      </c>
      <c r="T6" s="135" t="s">
        <v>44</v>
      </c>
      <c r="V6" s="143" t="s">
        <v>176</v>
      </c>
      <c r="W6" s="137" t="s">
        <v>155</v>
      </c>
      <c r="X6" s="136" t="s">
        <v>104</v>
      </c>
      <c r="Z6" s="122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1_PROC_OA_17_G01</v>
      </c>
      <c r="AA6" s="151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" s="139" t="s">
        <v>211</v>
      </c>
      <c r="AC6" s="136"/>
      <c r="AD6" s="136"/>
      <c r="AE6" s="140" t="s">
        <v>317</v>
      </c>
      <c r="AF6" s="141" t="str">
        <f>IFERROR(INDEX(Tabla10[ID],MATCH(BASE_GRAL[[#This Row],[EMPRESA ADJUDICADA]],Tabla10[Alias],0)),"")</f>
        <v/>
      </c>
      <c r="AG6" s="137" t="s">
        <v>317</v>
      </c>
      <c r="AH6" s="137" t="s">
        <v>317</v>
      </c>
      <c r="AI6" s="136"/>
      <c r="AJ6" s="136">
        <v>0</v>
      </c>
      <c r="AK6" s="135">
        <f>+BASE_GRAL[[#This Row],[COMA ADJUDICADO]]+BASE_GRAL[[#This Row],[AVI ADJUDICADO]]</f>
        <v>0</v>
      </c>
      <c r="AL6" s="142" t="s">
        <v>1224</v>
      </c>
      <c r="AM6" s="137" t="s">
        <v>317</v>
      </c>
      <c r="AN6" s="141" t="s">
        <v>317</v>
      </c>
    </row>
    <row r="7" spans="1:55" ht="16.5" customHeight="1" x14ac:dyDescent="0.25">
      <c r="A7">
        <v>4</v>
      </c>
      <c r="B7" t="s">
        <v>1422</v>
      </c>
      <c r="C7">
        <f>IFERROR(INDEX(Tabla6[AÑO],MATCH(B7,Tabla6[Alias],0)),"")</f>
        <v>2017</v>
      </c>
      <c r="D7">
        <f>IFERROR(INDEX(Tabla6[DECRETO],MATCH(B7,Tabla6[Alias],0)),"")</f>
        <v>418</v>
      </c>
      <c r="E7" s="6">
        <f>IFERROR(INDEX(Tabla6[Fecha de Promulgación],MATCH(B7,Tabla6[Alias],0)),"")</f>
        <v>42920</v>
      </c>
      <c r="F7">
        <f>IFERROR(INDEX(Tabla6[Tabla],MATCH(B7,Tabla6[Alias],0)),"")</f>
        <v>13</v>
      </c>
      <c r="G7" s="5" t="str">
        <f>IFERROR(INDEX(Tabla6[Sistema],MATCH(B7,Tabla6[Alias],0)),"")</f>
        <v>A</v>
      </c>
      <c r="H7" s="5" t="str">
        <f>IFERROR(INDEX(Tabla6[ID_OBRA],MATCH(B7,Tabla6[Alias],0)),"")</f>
        <v>17_418_Z_OA_04</v>
      </c>
      <c r="I7" t="str">
        <f>IFERROR(INDEX(Tabla6[Nombre Obra],MATCH(B7,Tabla6[Alias],0)),"")</f>
        <v>Ampliación en S/E Quiani</v>
      </c>
      <c r="J7" t="str">
        <f>IFERROR(INDEX(Tabla6[Segmento],MATCH(B7,Tabla6[Alias],0)),"")</f>
        <v>ZONAL</v>
      </c>
      <c r="K7">
        <f>IFERROR(INDEX(Tabla6[Region],MATCH(B7,Tabla6[Alias],0)),"")</f>
        <v>0</v>
      </c>
      <c r="L7" s="13" t="str">
        <f>IFERROR(INDEX(Tabla6[Tipo de Obra],MATCH(B7,Tabla6[Alias],0))," ")</f>
        <v>OA</v>
      </c>
      <c r="M7" s="13" t="str">
        <f>IFERROR(INDEX(Tabla6[Tipo de Obras],MATCH(B7,Tabla6[Alias],0))," ")</f>
        <v>S/E</v>
      </c>
      <c r="N7" s="13">
        <f>IFERROR(INDEX(Tabla6[Plazo constructivo],MATCH(B7,Tabla6[Alias],0))," ")</f>
        <v>18</v>
      </c>
      <c r="O7" s="14">
        <f>IFERROR(INDEX(Tabla6[Fecha EO],MATCH(B7,Tabla6[Alias],0))," ")</f>
        <v>43617</v>
      </c>
      <c r="P7" s="95">
        <f>IFERROR(INDEX(Tabla6[AVI REF],MATCH(B7,Tabla6[Alias],0))," ")</f>
        <v>227000</v>
      </c>
      <c r="Q7" s="95">
        <f>IFERROR(INDEX(Tabla6[COMA REF],MATCH(B7,Tabla6[Alias],0))," ")</f>
        <v>36000</v>
      </c>
      <c r="R7" s="95">
        <f>IFERROR(INDEX(Tabla6[VATT REF '[AVI + COMA']],MATCH(B7,Tabla6[Alias],0))," ")</f>
        <v>263000</v>
      </c>
      <c r="S7" t="str">
        <f>IFERROR(INDEX(Tabla6[Propietario],MATCH(B7,Tabla6[Alias],0))," ")</f>
        <v>CGE S.A.</v>
      </c>
      <c r="T7" t="s">
        <v>44</v>
      </c>
      <c r="V7" s="143" t="s">
        <v>176</v>
      </c>
      <c r="W7" s="13" t="s">
        <v>155</v>
      </c>
      <c r="X7" s="5" t="s">
        <v>104</v>
      </c>
      <c r="Z7" s="122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1_PROC_OA_17_G01</v>
      </c>
      <c r="AA7" s="151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" s="25" t="s">
        <v>212</v>
      </c>
      <c r="AC7" s="5"/>
      <c r="AD7" s="5"/>
      <c r="AE7" s="123" t="s">
        <v>329</v>
      </c>
      <c r="AF7" s="94" t="str">
        <f>IFERROR(INDEX(Tabla10[ID],MATCH(BASE_GRAL[[#This Row],[EMPRESA ADJUDICADA]],Tabla10[Alias],0)),"")</f>
        <v/>
      </c>
      <c r="AG7" s="94">
        <v>43287</v>
      </c>
      <c r="AH7" s="95">
        <v>7541833.6100000013</v>
      </c>
      <c r="AI7" s="5"/>
      <c r="AJ7" s="5">
        <v>0</v>
      </c>
      <c r="AK7">
        <f>+BASE_GRAL[[#This Row],[COMA ADJUDICADO]]+BASE_GRAL[[#This Row],[AVI ADJUDICADO]]</f>
        <v>0</v>
      </c>
      <c r="AL7" s="124" t="s">
        <v>1223</v>
      </c>
      <c r="AM7" s="13" t="s">
        <v>316</v>
      </c>
      <c r="AN7" s="94">
        <v>43673</v>
      </c>
    </row>
    <row r="8" spans="1:55" ht="16.5" customHeight="1" x14ac:dyDescent="0.25">
      <c r="A8">
        <v>5</v>
      </c>
      <c r="B8" t="s">
        <v>1423</v>
      </c>
      <c r="C8">
        <f>IFERROR(INDEX(Tabla6[AÑO],MATCH(B8,Tabla6[Alias],0)),"")</f>
        <v>2017</v>
      </c>
      <c r="D8">
        <f>IFERROR(INDEX(Tabla6[DECRETO],MATCH(B8,Tabla6[Alias],0)),"")</f>
        <v>418</v>
      </c>
      <c r="E8" s="6">
        <f>IFERROR(INDEX(Tabla6[Fecha de Promulgación],MATCH(B8,Tabla6[Alias],0)),"")</f>
        <v>42920</v>
      </c>
      <c r="F8">
        <f>IFERROR(INDEX(Tabla6[Tabla],MATCH(B8,Tabla6[Alias],0)),"")</f>
        <v>13</v>
      </c>
      <c r="G8" s="5" t="str">
        <f>IFERROR(INDEX(Tabla6[Sistema],MATCH(B8,Tabla6[Alias],0)),"")</f>
        <v>A</v>
      </c>
      <c r="H8" s="5" t="str">
        <f>IFERROR(INDEX(Tabla6[ID_OBRA],MATCH(B8,Tabla6[Alias],0)),"")</f>
        <v>17_418_Z_OA_05</v>
      </c>
      <c r="I8" t="str">
        <f>IFERROR(INDEX(Tabla6[Nombre Obra],MATCH(B8,Tabla6[Alias],0)),"")</f>
        <v xml:space="preserve">Ampliación en S/E Capricornio </v>
      </c>
      <c r="J8" t="str">
        <f>IFERROR(INDEX(Tabla6[Segmento],MATCH(B8,Tabla6[Alias],0)),"")</f>
        <v>ZONAL</v>
      </c>
      <c r="K8">
        <f>IFERROR(INDEX(Tabla6[Region],MATCH(B8,Tabla6[Alias],0)),"")</f>
        <v>0</v>
      </c>
      <c r="L8" s="13" t="str">
        <f>IFERROR(INDEX(Tabla6[Tipo de Obra],MATCH(B8,Tabla6[Alias],0))," ")</f>
        <v>OA</v>
      </c>
      <c r="M8" s="13" t="str">
        <f>IFERROR(INDEX(Tabla6[Tipo de Obras],MATCH(B8,Tabla6[Alias],0))," ")</f>
        <v>S/E</v>
      </c>
      <c r="N8" s="13">
        <f>IFERROR(INDEX(Tabla6[Plazo constructivo],MATCH(B8,Tabla6[Alias],0))," ")</f>
        <v>28</v>
      </c>
      <c r="O8" s="14">
        <f>IFERROR(INDEX(Tabla6[Fecha EO],MATCH(B8,Tabla6[Alias],0))," ")</f>
        <v>43922</v>
      </c>
      <c r="P8" s="95">
        <f>IFERROR(INDEX(Tabla6[AVI REF],MATCH(B8,Tabla6[Alias],0))," ")</f>
        <v>1058600</v>
      </c>
      <c r="Q8" s="95">
        <f>IFERROR(INDEX(Tabla6[COMA REF],MATCH(B8,Tabla6[Alias],0))," ")</f>
        <v>167900</v>
      </c>
      <c r="R8" s="95">
        <f>IFERROR(INDEX(Tabla6[VATT REF '[AVI + COMA']],MATCH(B8,Tabla6[Alias],0))," ")</f>
        <v>1226500</v>
      </c>
      <c r="S8" t="str">
        <f>IFERROR(INDEX(Tabla6[Propietario],MATCH(B8,Tabla6[Alias],0))," ")</f>
        <v>Engie Energía S.A.</v>
      </c>
      <c r="T8" t="s">
        <v>44</v>
      </c>
      <c r="V8" s="143" t="s">
        <v>176</v>
      </c>
      <c r="W8" s="13" t="s">
        <v>155</v>
      </c>
      <c r="X8" s="13" t="s">
        <v>105</v>
      </c>
      <c r="Z8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1_PROC_OA_17_G02</v>
      </c>
      <c r="AA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8" s="25" t="s">
        <v>213</v>
      </c>
      <c r="AC8" s="5"/>
      <c r="AD8" s="5"/>
      <c r="AE8" s="123" t="s">
        <v>168</v>
      </c>
      <c r="AF8" s="94" t="str">
        <f>IFERROR(INDEX(Tabla10[ID],MATCH(BASE_GRAL[[#This Row],[EMPRESA ADJUDICADA]],Tabla10[Alias],0)),"")</f>
        <v>PROP_11</v>
      </c>
      <c r="AG8" s="94">
        <v>43287</v>
      </c>
      <c r="AH8" s="95">
        <v>12158021</v>
      </c>
      <c r="AI8" s="5"/>
      <c r="AJ8" s="5">
        <v>0</v>
      </c>
      <c r="AK8">
        <f>+BASE_GRAL[[#This Row],[COMA ADJUDICADO]]+BASE_GRAL[[#This Row],[AVI ADJUDICADO]]</f>
        <v>0</v>
      </c>
      <c r="AL8" s="124" t="s">
        <v>1223</v>
      </c>
      <c r="AM8" s="13" t="s">
        <v>316</v>
      </c>
      <c r="AN8" s="94">
        <v>43673</v>
      </c>
    </row>
    <row r="9" spans="1:55" ht="16.5" customHeight="1" x14ac:dyDescent="0.25">
      <c r="A9">
        <v>6</v>
      </c>
      <c r="B9" t="s">
        <v>1424</v>
      </c>
      <c r="C9">
        <f>IFERROR(INDEX(Tabla6[AÑO],MATCH(B9,Tabla6[Alias],0)),"")</f>
        <v>2017</v>
      </c>
      <c r="D9">
        <f>IFERROR(INDEX(Tabla6[DECRETO],MATCH(B9,Tabla6[Alias],0)),"")</f>
        <v>418</v>
      </c>
      <c r="E9" s="6">
        <f>IFERROR(INDEX(Tabla6[Fecha de Promulgación],MATCH(B9,Tabla6[Alias],0)),"")</f>
        <v>42920</v>
      </c>
      <c r="F9">
        <f>IFERROR(INDEX(Tabla6[Tabla],MATCH(B9,Tabla6[Alias],0)),"")</f>
        <v>14</v>
      </c>
      <c r="G9" s="5" t="str">
        <f>IFERROR(INDEX(Tabla6[Sistema],MATCH(B9,Tabla6[Alias],0)),"")</f>
        <v>B</v>
      </c>
      <c r="H9" s="5" t="str">
        <f>IFERROR(INDEX(Tabla6[ID_OBRA],MATCH(B9,Tabla6[Alias],0)),"")</f>
        <v>17_418_Z_OA_06</v>
      </c>
      <c r="I9" t="str">
        <f>IFERROR(INDEX(Tabla6[Nombre Obra],MATCH(B9,Tabla6[Alias],0)),"")</f>
        <v>Ampliación en S/E Copayapu</v>
      </c>
      <c r="J9" t="str">
        <f>IFERROR(INDEX(Tabla6[Segmento],MATCH(B9,Tabla6[Alias],0)),"")</f>
        <v>ZONAL</v>
      </c>
      <c r="K9">
        <f>IFERROR(INDEX(Tabla6[Region],MATCH(B9,Tabla6[Alias],0)),"")</f>
        <v>0</v>
      </c>
      <c r="L9" s="13" t="str">
        <f>IFERROR(INDEX(Tabla6[Tipo de Obra],MATCH(B9,Tabla6[Alias],0))," ")</f>
        <v>OA</v>
      </c>
      <c r="M9" s="13" t="str">
        <f>IFERROR(INDEX(Tabla6[Tipo de Obras],MATCH(B9,Tabla6[Alias],0))," ")</f>
        <v>S/E</v>
      </c>
      <c r="N9" s="13">
        <f>IFERROR(INDEX(Tabla6[Plazo constructivo],MATCH(B9,Tabla6[Alias],0))," ")</f>
        <v>24</v>
      </c>
      <c r="O9" s="14">
        <f>IFERROR(INDEX(Tabla6[Fecha EO],MATCH(B9,Tabla6[Alias],0))," ")</f>
        <v>43800</v>
      </c>
      <c r="P9" s="95">
        <f>IFERROR(INDEX(Tabla6[AVI REF],MATCH(B9,Tabla6[Alias],0))," ")</f>
        <v>433100</v>
      </c>
      <c r="Q9" s="95">
        <f>IFERROR(INDEX(Tabla6[COMA REF],MATCH(B9,Tabla6[Alias],0))," ")</f>
        <v>68700</v>
      </c>
      <c r="R9" s="95">
        <f>IFERROR(INDEX(Tabla6[VATT REF '[AVI + COMA']],MATCH(B9,Tabla6[Alias],0))," ")</f>
        <v>501800</v>
      </c>
      <c r="S9" t="str">
        <f>IFERROR(INDEX(Tabla6[Propietario],MATCH(B9,Tabla6[Alias],0))," ")</f>
        <v>CGE S.A.</v>
      </c>
      <c r="T9" t="s">
        <v>44</v>
      </c>
      <c r="V9" s="143" t="s">
        <v>176</v>
      </c>
      <c r="W9" s="13" t="s">
        <v>155</v>
      </c>
      <c r="X9" s="13" t="s">
        <v>106</v>
      </c>
      <c r="Z9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1_PROC_OA_17_G03</v>
      </c>
      <c r="AA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9" s="25" t="s">
        <v>214</v>
      </c>
      <c r="AC9" s="5"/>
      <c r="AD9" s="5"/>
      <c r="AE9" s="123" t="s">
        <v>174</v>
      </c>
      <c r="AF9" s="94" t="str">
        <f>IFERROR(INDEX(Tabla10[ID],MATCH(BASE_GRAL[[#This Row],[EMPRESA ADJUDICADA]],Tabla10[Alias],0)),"")</f>
        <v>PROP_17</v>
      </c>
      <c r="AG9" s="94">
        <v>43287</v>
      </c>
      <c r="AH9" s="95">
        <v>5237634.7032609265</v>
      </c>
      <c r="AI9" s="5"/>
      <c r="AJ9" s="5">
        <v>0</v>
      </c>
      <c r="AK9">
        <f>+BASE_GRAL[[#This Row],[COMA ADJUDICADO]]+BASE_GRAL[[#This Row],[AVI ADJUDICADO]]</f>
        <v>0</v>
      </c>
      <c r="AL9" s="124" t="s">
        <v>1223</v>
      </c>
      <c r="AM9" s="13" t="s">
        <v>316</v>
      </c>
      <c r="AN9" s="94">
        <v>43673</v>
      </c>
    </row>
    <row r="10" spans="1:55" ht="16.5" customHeight="1" x14ac:dyDescent="0.25">
      <c r="A10">
        <v>7</v>
      </c>
      <c r="B10" t="s">
        <v>1425</v>
      </c>
      <c r="C10">
        <f>IFERROR(INDEX(Tabla6[AÑO],MATCH(B10,Tabla6[Alias],0)),"")</f>
        <v>2017</v>
      </c>
      <c r="D10">
        <f>IFERROR(INDEX(Tabla6[DECRETO],MATCH(B10,Tabla6[Alias],0)),"")</f>
        <v>418</v>
      </c>
      <c r="E10" s="6">
        <f>IFERROR(INDEX(Tabla6[Fecha de Promulgación],MATCH(B10,Tabla6[Alias],0)),"")</f>
        <v>42920</v>
      </c>
      <c r="F10">
        <f>IFERROR(INDEX(Tabla6[Tabla],MATCH(B10,Tabla6[Alias],0)),"")</f>
        <v>14</v>
      </c>
      <c r="G10" s="5" t="str">
        <f>IFERROR(INDEX(Tabla6[Sistema],MATCH(B10,Tabla6[Alias],0)),"")</f>
        <v>B</v>
      </c>
      <c r="H10" s="5" t="str">
        <f>IFERROR(INDEX(Tabla6[ID_OBRA],MATCH(B10,Tabla6[Alias],0)),"")</f>
        <v>17_418_Z_OA_07</v>
      </c>
      <c r="I10" t="str">
        <f>IFERROR(INDEX(Tabla6[Nombre Obra],MATCH(B10,Tabla6[Alias],0)),"")</f>
        <v>Ampliación en S/E San Joaquín</v>
      </c>
      <c r="J10" t="str">
        <f>IFERROR(INDEX(Tabla6[Segmento],MATCH(B10,Tabla6[Alias],0)),"")</f>
        <v>ZONAL</v>
      </c>
      <c r="K10">
        <f>IFERROR(INDEX(Tabla6[Region],MATCH(B10,Tabla6[Alias],0)),"")</f>
        <v>0</v>
      </c>
      <c r="L10" s="13" t="str">
        <f>IFERROR(INDEX(Tabla6[Tipo de Obra],MATCH(B10,Tabla6[Alias],0))," ")</f>
        <v>OA</v>
      </c>
      <c r="M10" s="13" t="str">
        <f>IFERROR(INDEX(Tabla6[Tipo de Obras],MATCH(B10,Tabla6[Alias],0))," ")</f>
        <v>S/E</v>
      </c>
      <c r="N10" s="13">
        <f>IFERROR(INDEX(Tabla6[Plazo constructivo],MATCH(B10,Tabla6[Alias],0))," ")</f>
        <v>24</v>
      </c>
      <c r="O10" s="14">
        <f>IFERROR(INDEX(Tabla6[Fecha EO],MATCH(B10,Tabla6[Alias],0))," ")</f>
        <v>43800</v>
      </c>
      <c r="P10" s="95">
        <f>IFERROR(INDEX(Tabla6[AVI REF],MATCH(B10,Tabla6[Alias],0))," ")</f>
        <v>430100</v>
      </c>
      <c r="Q10" s="95">
        <f>IFERROR(INDEX(Tabla6[COMA REF],MATCH(B10,Tabla6[Alias],0))," ")</f>
        <v>68200</v>
      </c>
      <c r="R10" s="95">
        <f>IFERROR(INDEX(Tabla6[VATT REF '[AVI + COMA']],MATCH(B10,Tabla6[Alias],0))," ")</f>
        <v>498300</v>
      </c>
      <c r="S10" t="str">
        <f>IFERROR(INDEX(Tabla6[Propietario],MATCH(B10,Tabla6[Alias],0))," ")</f>
        <v>CGE S.A.</v>
      </c>
      <c r="T10" t="s">
        <v>44</v>
      </c>
      <c r="V10" s="143" t="s">
        <v>176</v>
      </c>
      <c r="W10" s="13" t="s">
        <v>155</v>
      </c>
      <c r="X10" s="13" t="s">
        <v>106</v>
      </c>
      <c r="Z10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1_PROC_OA_17_G03</v>
      </c>
      <c r="AA1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0" s="25" t="s">
        <v>215</v>
      </c>
      <c r="AC10" s="5"/>
      <c r="AD10" s="5"/>
      <c r="AE10" s="123" t="s">
        <v>174</v>
      </c>
      <c r="AF10" s="94" t="str">
        <f>IFERROR(INDEX(Tabla10[ID],MATCH(BASE_GRAL[[#This Row],[EMPRESA ADJUDICADA]],Tabla10[Alias],0)),"")</f>
        <v>PROP_17</v>
      </c>
      <c r="AG10" s="94">
        <v>43287</v>
      </c>
      <c r="AH10" s="95">
        <v>5201354.6198857632</v>
      </c>
      <c r="AI10" s="5"/>
      <c r="AJ10" s="5">
        <v>0</v>
      </c>
      <c r="AK10">
        <f>+BASE_GRAL[[#This Row],[COMA ADJUDICADO]]+BASE_GRAL[[#This Row],[AVI ADJUDICADO]]</f>
        <v>0</v>
      </c>
      <c r="AL10" s="124" t="s">
        <v>1223</v>
      </c>
      <c r="AM10" s="13" t="s">
        <v>316</v>
      </c>
      <c r="AN10" s="94">
        <v>43673</v>
      </c>
    </row>
    <row r="11" spans="1:55" x14ac:dyDescent="0.25">
      <c r="A11">
        <v>8</v>
      </c>
      <c r="B11" t="s">
        <v>1426</v>
      </c>
      <c r="C11">
        <f>IFERROR(INDEX(Tabla6[AÑO],MATCH(B11,Tabla6[Alias],0)),"")</f>
        <v>2017</v>
      </c>
      <c r="D11">
        <f>IFERROR(INDEX(Tabla6[DECRETO],MATCH(B11,Tabla6[Alias],0)),"")</f>
        <v>418</v>
      </c>
      <c r="E11" s="6">
        <f>IFERROR(INDEX(Tabla6[Fecha de Promulgación],MATCH(B11,Tabla6[Alias],0)),"")</f>
        <v>42920</v>
      </c>
      <c r="F11">
        <f>IFERROR(INDEX(Tabla6[Tabla],MATCH(B11,Tabla6[Alias],0)),"")</f>
        <v>14</v>
      </c>
      <c r="G11" s="5" t="str">
        <f>IFERROR(INDEX(Tabla6[Sistema],MATCH(B11,Tabla6[Alias],0)),"")</f>
        <v>B</v>
      </c>
      <c r="H11" s="5" t="str">
        <f>IFERROR(INDEX(Tabla6[ID_OBRA],MATCH(B11,Tabla6[Alias],0)),"")</f>
        <v>17_418_Z_OA_08</v>
      </c>
      <c r="I11" t="str">
        <f>IFERROR(INDEX(Tabla6[Nombre Obra],MATCH(B11,Tabla6[Alias],0)),"")</f>
        <v>Ampliación en S/E Combarbalá</v>
      </c>
      <c r="J11" t="str">
        <f>IFERROR(INDEX(Tabla6[Segmento],MATCH(B11,Tabla6[Alias],0)),"")</f>
        <v>ZONAL</v>
      </c>
      <c r="K11">
        <f>IFERROR(INDEX(Tabla6[Region],MATCH(B11,Tabla6[Alias],0)),"")</f>
        <v>0</v>
      </c>
      <c r="L11" s="13" t="str">
        <f>IFERROR(INDEX(Tabla6[Tipo de Obra],MATCH(B11,Tabla6[Alias],0))," ")</f>
        <v>OA</v>
      </c>
      <c r="M11" s="13" t="str">
        <f>IFERROR(INDEX(Tabla6[Tipo de Obras],MATCH(B11,Tabla6[Alias],0))," ")</f>
        <v>S/E</v>
      </c>
      <c r="N11" s="13">
        <f>IFERROR(INDEX(Tabla6[Plazo constructivo],MATCH(B11,Tabla6[Alias],0))," ")</f>
        <v>18</v>
      </c>
      <c r="O11" s="14">
        <f>IFERROR(INDEX(Tabla6[Fecha EO],MATCH(B11,Tabla6[Alias],0))," ")</f>
        <v>43617</v>
      </c>
      <c r="P11" s="95">
        <f>IFERROR(INDEX(Tabla6[AVI REF],MATCH(B11,Tabla6[Alias],0))," ")</f>
        <v>130100</v>
      </c>
      <c r="Q11" s="95">
        <f>IFERROR(INDEX(Tabla6[COMA REF],MATCH(B11,Tabla6[Alias],0))," ")</f>
        <v>20600</v>
      </c>
      <c r="R11" s="95">
        <f>IFERROR(INDEX(Tabla6[VATT REF '[AVI + COMA']],MATCH(B11,Tabla6[Alias],0))," ")</f>
        <v>150700</v>
      </c>
      <c r="S11" t="str">
        <f>IFERROR(INDEX(Tabla6[Propietario],MATCH(B11,Tabla6[Alias],0))," ")</f>
        <v>CGE S.A.</v>
      </c>
      <c r="T11" t="s">
        <v>44</v>
      </c>
      <c r="V11" s="143" t="s">
        <v>176</v>
      </c>
      <c r="W11" s="13" t="s">
        <v>155</v>
      </c>
      <c r="X11" s="13" t="s">
        <v>106</v>
      </c>
      <c r="Z11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1_PROC_OA_17_G03</v>
      </c>
      <c r="AA11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1" s="25" t="s">
        <v>216</v>
      </c>
      <c r="AC11" s="5"/>
      <c r="AD11" s="5"/>
      <c r="AE11" s="123" t="s">
        <v>174</v>
      </c>
      <c r="AF11" s="94" t="str">
        <f>IFERROR(INDEX(Tabla10[ID],MATCH(BASE_GRAL[[#This Row],[EMPRESA ADJUDICADA]],Tabla10[Alias],0)),"")</f>
        <v>PROP_17</v>
      </c>
      <c r="AG11" s="94">
        <v>43287</v>
      </c>
      <c r="AH11" s="95">
        <v>1573346.2823695368</v>
      </c>
      <c r="AI11" s="5"/>
      <c r="AJ11" s="5">
        <v>0</v>
      </c>
      <c r="AK11">
        <f>+BASE_GRAL[[#This Row],[COMA ADJUDICADO]]+BASE_GRAL[[#This Row],[AVI ADJUDICADO]]</f>
        <v>0</v>
      </c>
      <c r="AL11" s="124" t="s">
        <v>1223</v>
      </c>
      <c r="AM11" s="13" t="s">
        <v>316</v>
      </c>
      <c r="AN11" s="94">
        <v>43673</v>
      </c>
    </row>
    <row r="12" spans="1:55" x14ac:dyDescent="0.25">
      <c r="A12">
        <v>9</v>
      </c>
      <c r="B12" t="s">
        <v>1427</v>
      </c>
      <c r="C12">
        <f>IFERROR(INDEX(Tabla6[AÑO],MATCH(B12,Tabla6[Alias],0)),"")</f>
        <v>2017</v>
      </c>
      <c r="D12">
        <f>IFERROR(INDEX(Tabla6[DECRETO],MATCH(B12,Tabla6[Alias],0)),"")</f>
        <v>418</v>
      </c>
      <c r="E12" s="6">
        <f>IFERROR(INDEX(Tabla6[Fecha de Promulgación],MATCH(B12,Tabla6[Alias],0)),"")</f>
        <v>42920</v>
      </c>
      <c r="F12">
        <f>IFERROR(INDEX(Tabla6[Tabla],MATCH(B12,Tabla6[Alias],0)),"")</f>
        <v>14</v>
      </c>
      <c r="G12" s="5" t="str">
        <f>IFERROR(INDEX(Tabla6[Sistema],MATCH(B12,Tabla6[Alias],0)),"")</f>
        <v>B</v>
      </c>
      <c r="H12" s="5" t="str">
        <f>IFERROR(INDEX(Tabla6[ID_OBRA],MATCH(B12,Tabla6[Alias],0)),"")</f>
        <v>17_418_Z_OA_09</v>
      </c>
      <c r="I12" t="str">
        <f>IFERROR(INDEX(Tabla6[Nombre Obra],MATCH(B12,Tabla6[Alias],0)),"")</f>
        <v>Aumento de capacidad de línea 1x110kV Maitencillo - Algarrobo</v>
      </c>
      <c r="J12" t="str">
        <f>IFERROR(INDEX(Tabla6[Segmento],MATCH(B12,Tabla6[Alias],0)),"")</f>
        <v>ZONAL</v>
      </c>
      <c r="K12">
        <f>IFERROR(INDEX(Tabla6[Region],MATCH(B12,Tabla6[Alias],0)),"")</f>
        <v>0</v>
      </c>
      <c r="L12" s="13" t="str">
        <f>IFERROR(INDEX(Tabla6[Tipo de Obra],MATCH(B12,Tabla6[Alias],0))," ")</f>
        <v>OA</v>
      </c>
      <c r="M12" s="13" t="str">
        <f>IFERROR(INDEX(Tabla6[Tipo de Obras],MATCH(B12,Tabla6[Alias],0))," ")</f>
        <v>LT</v>
      </c>
      <c r="N12" s="13">
        <f>IFERROR(INDEX(Tabla6[Plazo constructivo],MATCH(B12,Tabla6[Alias],0))," ")</f>
        <v>24</v>
      </c>
      <c r="O12" s="14">
        <f>IFERROR(INDEX(Tabla6[Fecha EO],MATCH(B12,Tabla6[Alias],0))," ")</f>
        <v>43800</v>
      </c>
      <c r="P12" s="95">
        <f>IFERROR(INDEX(Tabla6[AVI REF],MATCH(B12,Tabla6[Alias],0))," ")</f>
        <v>162200</v>
      </c>
      <c r="Q12" s="95">
        <f>IFERROR(INDEX(Tabla6[COMA REF],MATCH(B12,Tabla6[Alias],0))," ")</f>
        <v>25700</v>
      </c>
      <c r="R12" s="95">
        <f>IFERROR(INDEX(Tabla6[VATT REF '[AVI + COMA']],MATCH(B12,Tabla6[Alias],0))," ")</f>
        <v>187900</v>
      </c>
      <c r="S12" t="str">
        <f>IFERROR(INDEX(Tabla6[Propietario],MATCH(B12,Tabla6[Alias],0))," ")</f>
        <v>Transelec S.A.</v>
      </c>
      <c r="T12" t="s">
        <v>44</v>
      </c>
      <c r="V12" s="143" t="s">
        <v>176</v>
      </c>
      <c r="W12" s="13" t="s">
        <v>155</v>
      </c>
      <c r="X12" s="13" t="s">
        <v>106</v>
      </c>
      <c r="Z12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1_PROC_OA_17_G03</v>
      </c>
      <c r="AA1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2" s="25" t="s">
        <v>217</v>
      </c>
      <c r="AC12" s="5"/>
      <c r="AD12" s="5"/>
      <c r="AE12" s="123" t="s">
        <v>174</v>
      </c>
      <c r="AF12" s="94" t="str">
        <f>IFERROR(INDEX(Tabla10[ID],MATCH(BASE_GRAL[[#This Row],[EMPRESA ADJUDICADA]],Tabla10[Alias],0)),"")</f>
        <v>PROP_17</v>
      </c>
      <c r="AG12" s="94">
        <v>43287</v>
      </c>
      <c r="AH12" s="95">
        <v>1961543.1744837731</v>
      </c>
      <c r="AI12" s="5"/>
      <c r="AJ12" s="5">
        <v>0</v>
      </c>
      <c r="AK12">
        <f>+BASE_GRAL[[#This Row],[COMA ADJUDICADO]]+BASE_GRAL[[#This Row],[AVI ADJUDICADO]]</f>
        <v>0</v>
      </c>
      <c r="AL12" s="124" t="s">
        <v>1223</v>
      </c>
      <c r="AM12" s="13" t="s">
        <v>316</v>
      </c>
      <c r="AN12" s="94">
        <v>43673</v>
      </c>
    </row>
    <row r="13" spans="1:55" x14ac:dyDescent="0.25">
      <c r="A13">
        <v>10</v>
      </c>
      <c r="B13" t="s">
        <v>1428</v>
      </c>
      <c r="C13">
        <f>IFERROR(INDEX(Tabla6[AÑO],MATCH(B13,Tabla6[Alias],0)),"")</f>
        <v>2017</v>
      </c>
      <c r="D13">
        <f>IFERROR(INDEX(Tabla6[DECRETO],MATCH(B13,Tabla6[Alias],0)),"")</f>
        <v>418</v>
      </c>
      <c r="E13" s="6">
        <f>IFERROR(INDEX(Tabla6[Fecha de Promulgación],MATCH(B13,Tabla6[Alias],0)),"")</f>
        <v>42920</v>
      </c>
      <c r="F13">
        <f>IFERROR(INDEX(Tabla6[Tabla],MATCH(B13,Tabla6[Alias],0)),"")</f>
        <v>15</v>
      </c>
      <c r="G13" s="5" t="str">
        <f>IFERROR(INDEX(Tabla6[Sistema],MATCH(B13,Tabla6[Alias],0)),"")</f>
        <v>C</v>
      </c>
      <c r="H13" s="5" t="str">
        <f>IFERROR(INDEX(Tabla6[ID_OBRA],MATCH(B13,Tabla6[Alias],0)),"")</f>
        <v>17_418_Z_OA_10</v>
      </c>
      <c r="I13" t="str">
        <f>IFERROR(INDEX(Tabla6[Nombre Obra],MATCH(B13,Tabla6[Alias],0)),"")</f>
        <v xml:space="preserve">Doble Barra Tap Algarrobo </v>
      </c>
      <c r="J13" t="str">
        <f>IFERROR(INDEX(Tabla6[Segmento],MATCH(B13,Tabla6[Alias],0)),"")</f>
        <v>ZONAL</v>
      </c>
      <c r="K13">
        <f>IFERROR(INDEX(Tabla6[Region],MATCH(B13,Tabla6[Alias],0)),"")</f>
        <v>0</v>
      </c>
      <c r="L13" s="13" t="str">
        <f>IFERROR(INDEX(Tabla6[Tipo de Obra],MATCH(B13,Tabla6[Alias],0))," ")</f>
        <v>OA</v>
      </c>
      <c r="M13" s="13" t="str">
        <f>IFERROR(INDEX(Tabla6[Tipo de Obras],MATCH(B13,Tabla6[Alias],0))," ")</f>
        <v>S/E</v>
      </c>
      <c r="N13" s="13">
        <f>IFERROR(INDEX(Tabla6[Plazo constructivo],MATCH(B13,Tabla6[Alias],0))," ")</f>
        <v>24</v>
      </c>
      <c r="O13" s="14">
        <f>IFERROR(INDEX(Tabla6[Fecha EO],MATCH(B13,Tabla6[Alias],0))," ")</f>
        <v>43800</v>
      </c>
      <c r="P13" s="95">
        <f>IFERROR(INDEX(Tabla6[AVI REF],MATCH(B13,Tabla6[Alias],0))," ")</f>
        <v>605800</v>
      </c>
      <c r="Q13" s="95">
        <f>IFERROR(INDEX(Tabla6[COMA REF],MATCH(B13,Tabla6[Alias],0))," ")</f>
        <v>96100</v>
      </c>
      <c r="R13" s="95">
        <f>IFERROR(INDEX(Tabla6[VATT REF '[AVI + COMA']],MATCH(B13,Tabla6[Alias],0))," ")</f>
        <v>701900</v>
      </c>
      <c r="S13" t="str">
        <f>IFERROR(INDEX(Tabla6[Propietario],MATCH(B13,Tabla6[Alias],0))," ")</f>
        <v>Chilquinta Energía S.A.</v>
      </c>
      <c r="T13" t="s">
        <v>44</v>
      </c>
      <c r="V13" s="143" t="s">
        <v>176</v>
      </c>
      <c r="W13" s="13" t="s">
        <v>155</v>
      </c>
      <c r="X13" s="13" t="s">
        <v>107</v>
      </c>
      <c r="Z13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1_PROC_OA_17_G04</v>
      </c>
      <c r="AA1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3" s="25" t="s">
        <v>218</v>
      </c>
      <c r="AC13" s="5"/>
      <c r="AD13" s="5"/>
      <c r="AE13" s="123" t="s">
        <v>174</v>
      </c>
      <c r="AF13" s="94" t="str">
        <f>IFERROR(INDEX(Tabla10[ID],MATCH(BASE_GRAL[[#This Row],[EMPRESA ADJUDICADA]],Tabla10[Alias],0)),"")</f>
        <v>PROP_17</v>
      </c>
      <c r="AG13" s="94">
        <v>43287</v>
      </c>
      <c r="AH13" s="95">
        <v>6919239.222859079</v>
      </c>
      <c r="AI13" s="5"/>
      <c r="AJ13" s="5">
        <v>0</v>
      </c>
      <c r="AK13">
        <f>+BASE_GRAL[[#This Row],[COMA ADJUDICADO]]+BASE_GRAL[[#This Row],[AVI ADJUDICADO]]</f>
        <v>0</v>
      </c>
      <c r="AL13" s="124" t="s">
        <v>1223</v>
      </c>
      <c r="AM13" s="13" t="s">
        <v>316</v>
      </c>
      <c r="AN13" s="94">
        <v>43673</v>
      </c>
    </row>
    <row r="14" spans="1:55" x14ac:dyDescent="0.25">
      <c r="A14">
        <v>11</v>
      </c>
      <c r="B14" t="s">
        <v>1429</v>
      </c>
      <c r="C14">
        <f>IFERROR(INDEX(Tabla6[AÑO],MATCH(B14,Tabla6[Alias],0)),"")</f>
        <v>2017</v>
      </c>
      <c r="D14">
        <f>IFERROR(INDEX(Tabla6[DECRETO],MATCH(B14,Tabla6[Alias],0)),"")</f>
        <v>418</v>
      </c>
      <c r="E14" s="6">
        <f>IFERROR(INDEX(Tabla6[Fecha de Promulgación],MATCH(B14,Tabla6[Alias],0)),"")</f>
        <v>42920</v>
      </c>
      <c r="F14">
        <f>IFERROR(INDEX(Tabla6[Tabla],MATCH(B14,Tabla6[Alias],0)),"")</f>
        <v>15</v>
      </c>
      <c r="G14" s="5" t="str">
        <f>IFERROR(INDEX(Tabla6[Sistema],MATCH(B14,Tabla6[Alias],0)),"")</f>
        <v>C</v>
      </c>
      <c r="H14" s="5" t="str">
        <f>IFERROR(INDEX(Tabla6[ID_OBRA],MATCH(B14,Tabla6[Alias],0)),"")</f>
        <v>17_418_Z_OA_11</v>
      </c>
      <c r="I14" t="str">
        <f>IFERROR(INDEX(Tabla6[Nombre Obra],MATCH(B14,Tabla6[Alias],0)),"")</f>
        <v>Ampliación en S/E Agua Santa</v>
      </c>
      <c r="J14" t="str">
        <f>IFERROR(INDEX(Tabla6[Segmento],MATCH(B14,Tabla6[Alias],0)),"")</f>
        <v>ZONAL</v>
      </c>
      <c r="K14">
        <f>IFERROR(INDEX(Tabla6[Region],MATCH(B14,Tabla6[Alias],0)),"")</f>
        <v>0</v>
      </c>
      <c r="L14" s="13" t="str">
        <f>IFERROR(INDEX(Tabla6[Tipo de Obra],MATCH(B14,Tabla6[Alias],0))," ")</f>
        <v>OA</v>
      </c>
      <c r="M14" s="13" t="str">
        <f>IFERROR(INDEX(Tabla6[Tipo de Obras],MATCH(B14,Tabla6[Alias],0))," ")</f>
        <v>S/E</v>
      </c>
      <c r="N14" s="13">
        <f>IFERROR(INDEX(Tabla6[Plazo constructivo],MATCH(B14,Tabla6[Alias],0))," ")</f>
        <v>24</v>
      </c>
      <c r="O14" s="14">
        <f>IFERROR(INDEX(Tabla6[Fecha EO],MATCH(B14,Tabla6[Alias],0))," ")</f>
        <v>43800</v>
      </c>
      <c r="P14" s="95">
        <f>IFERROR(INDEX(Tabla6[AVI REF],MATCH(B14,Tabla6[Alias],0))," ")</f>
        <v>971500</v>
      </c>
      <c r="Q14" s="95">
        <f>IFERROR(INDEX(Tabla6[COMA REF],MATCH(B14,Tabla6[Alias],0))," ")</f>
        <v>154100</v>
      </c>
      <c r="R14" s="95">
        <f>IFERROR(INDEX(Tabla6[VATT REF '[AVI + COMA']],MATCH(B14,Tabla6[Alias],0))," ")</f>
        <v>1125600</v>
      </c>
      <c r="S14" t="str">
        <f>IFERROR(INDEX(Tabla6[Propietario],MATCH(B14,Tabla6[Alias],0))," ")</f>
        <v>Chilquinta Energía S.A.</v>
      </c>
      <c r="T14" t="s">
        <v>44</v>
      </c>
      <c r="V14" s="143" t="s">
        <v>176</v>
      </c>
      <c r="W14" s="13" t="s">
        <v>155</v>
      </c>
      <c r="X14" s="13" t="s">
        <v>107</v>
      </c>
      <c r="Z14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1_PROC_OA_17_G04</v>
      </c>
      <c r="AA1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4" s="25" t="s">
        <v>219</v>
      </c>
      <c r="AC14" s="5"/>
      <c r="AD14" s="5"/>
      <c r="AE14" s="123" t="s">
        <v>174</v>
      </c>
      <c r="AF14" s="94" t="str">
        <f>IFERROR(INDEX(Tabla10[ID],MATCH(BASE_GRAL[[#This Row],[EMPRESA ADJUDICADA]],Tabla10[Alias],0)),"")</f>
        <v>PROP_17</v>
      </c>
      <c r="AG14" s="94">
        <v>43287</v>
      </c>
      <c r="AH14" s="95">
        <v>11096138.832960706</v>
      </c>
      <c r="AI14" s="5"/>
      <c r="AJ14" s="5">
        <v>0</v>
      </c>
      <c r="AK14">
        <f>+BASE_GRAL[[#This Row],[COMA ADJUDICADO]]+BASE_GRAL[[#This Row],[AVI ADJUDICADO]]</f>
        <v>0</v>
      </c>
      <c r="AL14" s="124" t="s">
        <v>1223</v>
      </c>
      <c r="AM14" s="13" t="s">
        <v>316</v>
      </c>
      <c r="AN14" s="94">
        <v>43673</v>
      </c>
    </row>
    <row r="15" spans="1:55" x14ac:dyDescent="0.25">
      <c r="A15">
        <v>12</v>
      </c>
      <c r="B15" t="s">
        <v>1430</v>
      </c>
      <c r="C15">
        <f>IFERROR(INDEX(Tabla6[AÑO],MATCH(B15,Tabla6[Alias],0)),"")</f>
        <v>2017</v>
      </c>
      <c r="D15">
        <f>IFERROR(INDEX(Tabla6[DECRETO],MATCH(B15,Tabla6[Alias],0)),"")</f>
        <v>418</v>
      </c>
      <c r="E15" s="6">
        <f>IFERROR(INDEX(Tabla6[Fecha de Promulgación],MATCH(B15,Tabla6[Alias],0)),"")</f>
        <v>42920</v>
      </c>
      <c r="F15">
        <f>IFERROR(INDEX(Tabla6[Tabla],MATCH(B15,Tabla6[Alias],0)),"")</f>
        <v>15</v>
      </c>
      <c r="G15" s="5" t="str">
        <f>IFERROR(INDEX(Tabla6[Sistema],MATCH(B15,Tabla6[Alias],0)),"")</f>
        <v>C</v>
      </c>
      <c r="H15" s="5" t="str">
        <f>IFERROR(INDEX(Tabla6[ID_OBRA],MATCH(B15,Tabla6[Alias],0)),"")</f>
        <v>17_418_Z_OA_12</v>
      </c>
      <c r="I15" t="str">
        <f>IFERROR(INDEX(Tabla6[Nombre Obra],MATCH(B15,Tabla6[Alias],0)),"")</f>
        <v>Ampliación en S/E Bosquemar</v>
      </c>
      <c r="J15" t="str">
        <f>IFERROR(INDEX(Tabla6[Segmento],MATCH(B15,Tabla6[Alias],0)),"")</f>
        <v>ZONAL</v>
      </c>
      <c r="K15">
        <f>IFERROR(INDEX(Tabla6[Region],MATCH(B15,Tabla6[Alias],0)),"")</f>
        <v>0</v>
      </c>
      <c r="L15" s="13" t="str">
        <f>IFERROR(INDEX(Tabla6[Tipo de Obra],MATCH(B15,Tabla6[Alias],0))," ")</f>
        <v>OA</v>
      </c>
      <c r="M15" s="13" t="str">
        <f>IFERROR(INDEX(Tabla6[Tipo de Obras],MATCH(B15,Tabla6[Alias],0))," ")</f>
        <v>S/E</v>
      </c>
      <c r="N15" s="13">
        <f>IFERROR(INDEX(Tabla6[Plazo constructivo],MATCH(B15,Tabla6[Alias],0))," ")</f>
        <v>18</v>
      </c>
      <c r="O15" s="14">
        <f>IFERROR(INDEX(Tabla6[Fecha EO],MATCH(B15,Tabla6[Alias],0))," ")</f>
        <v>43617</v>
      </c>
      <c r="P15" s="95">
        <f>IFERROR(INDEX(Tabla6[AVI REF],MATCH(B15,Tabla6[Alias],0))," ")</f>
        <v>201800</v>
      </c>
      <c r="Q15" s="95">
        <f>IFERROR(INDEX(Tabla6[COMA REF],MATCH(B15,Tabla6[Alias],0))," ")</f>
        <v>32000</v>
      </c>
      <c r="R15" s="95">
        <f>IFERROR(INDEX(Tabla6[VATT REF '[AVI + COMA']],MATCH(B15,Tabla6[Alias],0))," ")</f>
        <v>233800</v>
      </c>
      <c r="S15" t="str">
        <f>IFERROR(INDEX(Tabla6[Propietario],MATCH(B15,Tabla6[Alias],0))," ")</f>
        <v>Chilquinta Energía S.A.</v>
      </c>
      <c r="T15" t="s">
        <v>44</v>
      </c>
      <c r="V15" s="143" t="s">
        <v>176</v>
      </c>
      <c r="W15" s="13" t="s">
        <v>155</v>
      </c>
      <c r="X15" s="13" t="s">
        <v>107</v>
      </c>
      <c r="Z15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1_PROC_OA_17_G04</v>
      </c>
      <c r="AA1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5" s="25" t="s">
        <v>220</v>
      </c>
      <c r="AC15" s="5"/>
      <c r="AD15" s="5"/>
      <c r="AE15" s="123" t="s">
        <v>174</v>
      </c>
      <c r="AF15" s="94" t="str">
        <f>IFERROR(INDEX(Tabla10[ID],MATCH(BASE_GRAL[[#This Row],[EMPRESA ADJUDICADA]],Tabla10[Alias],0)),"")</f>
        <v>PROP_17</v>
      </c>
      <c r="AG15" s="94">
        <v>43287</v>
      </c>
      <c r="AH15" s="95">
        <v>2304890.1868157182</v>
      </c>
      <c r="AI15" s="5"/>
      <c r="AJ15" s="5">
        <v>0</v>
      </c>
      <c r="AK15">
        <f>+BASE_GRAL[[#This Row],[COMA ADJUDICADO]]+BASE_GRAL[[#This Row],[AVI ADJUDICADO]]</f>
        <v>0</v>
      </c>
      <c r="AL15" s="124" t="s">
        <v>1223</v>
      </c>
      <c r="AM15" s="13" t="s">
        <v>316</v>
      </c>
      <c r="AN15" s="94">
        <v>43673</v>
      </c>
    </row>
    <row r="16" spans="1:55" x14ac:dyDescent="0.25">
      <c r="A16">
        <v>13</v>
      </c>
      <c r="B16" t="s">
        <v>1431</v>
      </c>
      <c r="C16">
        <f>IFERROR(INDEX(Tabla6[AÑO],MATCH(B16,Tabla6[Alias],0)),"")</f>
        <v>2017</v>
      </c>
      <c r="D16">
        <f>IFERROR(INDEX(Tabla6[DECRETO],MATCH(B16,Tabla6[Alias],0)),"")</f>
        <v>418</v>
      </c>
      <c r="E16" s="6">
        <f>IFERROR(INDEX(Tabla6[Fecha de Promulgación],MATCH(B16,Tabla6[Alias],0)),"")</f>
        <v>42920</v>
      </c>
      <c r="F16">
        <f>IFERROR(INDEX(Tabla6[Tabla],MATCH(B16,Tabla6[Alias],0)),"")</f>
        <v>15</v>
      </c>
      <c r="G16" s="5" t="str">
        <f>IFERROR(INDEX(Tabla6[Sistema],MATCH(B16,Tabla6[Alias],0)),"")</f>
        <v>C</v>
      </c>
      <c r="H16" s="5" t="str">
        <f>IFERROR(INDEX(Tabla6[ID_OBRA],MATCH(B16,Tabla6[Alias],0)),"")</f>
        <v>17_418_Z_OA_13</v>
      </c>
      <c r="I16" t="str">
        <f>IFERROR(INDEX(Tabla6[Nombre Obra],MATCH(B16,Tabla6[Alias],0)),"")</f>
        <v xml:space="preserve">Ampliación en S/E Placilla </v>
      </c>
      <c r="J16" t="str">
        <f>IFERROR(INDEX(Tabla6[Segmento],MATCH(B16,Tabla6[Alias],0)),"")</f>
        <v>ZONAL</v>
      </c>
      <c r="K16">
        <f>IFERROR(INDEX(Tabla6[Region],MATCH(B16,Tabla6[Alias],0)),"")</f>
        <v>0</v>
      </c>
      <c r="L16" s="13" t="str">
        <f>IFERROR(INDEX(Tabla6[Tipo de Obra],MATCH(B16,Tabla6[Alias],0))," ")</f>
        <v>OA</v>
      </c>
      <c r="M16" s="13" t="str">
        <f>IFERROR(INDEX(Tabla6[Tipo de Obras],MATCH(B16,Tabla6[Alias],0))," ")</f>
        <v>S/E</v>
      </c>
      <c r="N16" s="13">
        <f>IFERROR(INDEX(Tabla6[Plazo constructivo],MATCH(B16,Tabla6[Alias],0))," ")</f>
        <v>18</v>
      </c>
      <c r="O16" s="14">
        <f>IFERROR(INDEX(Tabla6[Fecha EO],MATCH(B16,Tabla6[Alias],0))," ")</f>
        <v>43617</v>
      </c>
      <c r="P16" s="95">
        <f>IFERROR(INDEX(Tabla6[AVI REF],MATCH(B16,Tabla6[Alias],0))," ")</f>
        <v>183000</v>
      </c>
      <c r="Q16" s="95">
        <f>IFERROR(INDEX(Tabla6[COMA REF],MATCH(B16,Tabla6[Alias],0))," ")</f>
        <v>29000</v>
      </c>
      <c r="R16" s="95">
        <f>IFERROR(INDEX(Tabla6[VATT REF '[AVI + COMA']],MATCH(B16,Tabla6[Alias],0))," ")</f>
        <v>212000</v>
      </c>
      <c r="S16" t="str">
        <f>IFERROR(INDEX(Tabla6[Propietario],MATCH(B16,Tabla6[Alias],0))," ")</f>
        <v>Chilquinta Energía S.A.</v>
      </c>
      <c r="T16" t="s">
        <v>44</v>
      </c>
      <c r="V16" s="143" t="s">
        <v>176</v>
      </c>
      <c r="W16" s="13" t="s">
        <v>155</v>
      </c>
      <c r="X16" s="13" t="s">
        <v>107</v>
      </c>
      <c r="Z16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1_PROC_OA_17_G04</v>
      </c>
      <c r="AA1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6" s="25" t="s">
        <v>221</v>
      </c>
      <c r="AC16" s="5"/>
      <c r="AD16" s="5"/>
      <c r="AE16" s="123" t="s">
        <v>174</v>
      </c>
      <c r="AF16" s="94" t="str">
        <f>IFERROR(INDEX(Tabla10[ID],MATCH(BASE_GRAL[[#This Row],[EMPRESA ADJUDICADA]],Tabla10[Alias],0)),"")</f>
        <v>PROP_17</v>
      </c>
      <c r="AG16" s="94">
        <v>43287</v>
      </c>
      <c r="AH16" s="95">
        <v>2090163.0534552843</v>
      </c>
      <c r="AI16" s="5"/>
      <c r="AJ16" s="5">
        <v>0</v>
      </c>
      <c r="AK16">
        <f>+BASE_GRAL[[#This Row],[COMA ADJUDICADO]]+BASE_GRAL[[#This Row],[AVI ADJUDICADO]]</f>
        <v>0</v>
      </c>
      <c r="AL16" s="124" t="s">
        <v>1223</v>
      </c>
      <c r="AM16" s="13" t="s">
        <v>316</v>
      </c>
      <c r="AN16" s="94">
        <v>43673</v>
      </c>
    </row>
    <row r="17" spans="1:40" x14ac:dyDescent="0.25">
      <c r="A17">
        <v>14</v>
      </c>
      <c r="B17" t="s">
        <v>1432</v>
      </c>
      <c r="C17">
        <f>IFERROR(INDEX(Tabla6[AÑO],MATCH(B17,Tabla6[Alias],0)),"")</f>
        <v>2017</v>
      </c>
      <c r="D17">
        <f>IFERROR(INDEX(Tabla6[DECRETO],MATCH(B17,Tabla6[Alias],0)),"")</f>
        <v>418</v>
      </c>
      <c r="E17" s="6">
        <f>IFERROR(INDEX(Tabla6[Fecha de Promulgación],MATCH(B17,Tabla6[Alias],0)),"")</f>
        <v>42920</v>
      </c>
      <c r="F17">
        <f>IFERROR(INDEX(Tabla6[Tabla],MATCH(B17,Tabla6[Alias],0)),"")</f>
        <v>15</v>
      </c>
      <c r="G17" s="5" t="str">
        <f>IFERROR(INDEX(Tabla6[Sistema],MATCH(B17,Tabla6[Alias],0)),"")</f>
        <v>C</v>
      </c>
      <c r="H17" s="5" t="str">
        <f>IFERROR(INDEX(Tabla6[ID_OBRA],MATCH(B17,Tabla6[Alias],0)),"")</f>
        <v>17_418_Z_OA_14</v>
      </c>
      <c r="I17" t="str">
        <f>IFERROR(INDEX(Tabla6[Nombre Obra],MATCH(B17,Tabla6[Alias],0)),"")</f>
        <v>Ampliación en S/E San Antonio</v>
      </c>
      <c r="J17" t="str">
        <f>IFERROR(INDEX(Tabla6[Segmento],MATCH(B17,Tabla6[Alias],0)),"")</f>
        <v>ZONAL</v>
      </c>
      <c r="K17">
        <f>IFERROR(INDEX(Tabla6[Region],MATCH(B17,Tabla6[Alias],0)),"")</f>
        <v>0</v>
      </c>
      <c r="L17" s="13" t="str">
        <f>IFERROR(INDEX(Tabla6[Tipo de Obra],MATCH(B17,Tabla6[Alias],0))," ")</f>
        <v>OA</v>
      </c>
      <c r="M17" s="13" t="str">
        <f>IFERROR(INDEX(Tabla6[Tipo de Obras],MATCH(B17,Tabla6[Alias],0))," ")</f>
        <v>S/E</v>
      </c>
      <c r="N17" s="13">
        <f>IFERROR(INDEX(Tabla6[Plazo constructivo],MATCH(B17,Tabla6[Alias],0))," ")</f>
        <v>18</v>
      </c>
      <c r="O17" s="14">
        <f>IFERROR(INDEX(Tabla6[Fecha EO],MATCH(B17,Tabla6[Alias],0))," ")</f>
        <v>43617</v>
      </c>
      <c r="P17" s="95">
        <f>IFERROR(INDEX(Tabla6[AVI REF],MATCH(B17,Tabla6[Alias],0))," ")</f>
        <v>251900</v>
      </c>
      <c r="Q17" s="95">
        <f>IFERROR(INDEX(Tabla6[COMA REF],MATCH(B17,Tabla6[Alias],0))," ")</f>
        <v>40000</v>
      </c>
      <c r="R17" s="95">
        <f>IFERROR(INDEX(Tabla6[VATT REF '[AVI + COMA']],MATCH(B17,Tabla6[Alias],0))," ")</f>
        <v>291900</v>
      </c>
      <c r="S17" t="str">
        <f>IFERROR(INDEX(Tabla6[Propietario],MATCH(B17,Tabla6[Alias],0))," ")</f>
        <v>Chilquinta Energía S.A.</v>
      </c>
      <c r="T17" t="s">
        <v>44</v>
      </c>
      <c r="V17" s="143" t="s">
        <v>176</v>
      </c>
      <c r="W17" s="13" t="s">
        <v>155</v>
      </c>
      <c r="X17" s="13" t="s">
        <v>107</v>
      </c>
      <c r="Z17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1_PROC_OA_17_G04</v>
      </c>
      <c r="AA1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7" s="25" t="s">
        <v>222</v>
      </c>
      <c r="AC17" s="5"/>
      <c r="AD17" s="5"/>
      <c r="AE17" s="123" t="s">
        <v>174</v>
      </c>
      <c r="AF17" s="94" t="str">
        <f>IFERROR(INDEX(Tabla10[ID],MATCH(BASE_GRAL[[#This Row],[EMPRESA ADJUDICADA]],Tabla10[Alias],0)),"")</f>
        <v>PROP_17</v>
      </c>
      <c r="AG17" s="94">
        <v>43287</v>
      </c>
      <c r="AH17" s="95">
        <v>2877115.1539092143</v>
      </c>
      <c r="AI17" s="5"/>
      <c r="AJ17" s="5">
        <v>0</v>
      </c>
      <c r="AK17">
        <f>+BASE_GRAL[[#This Row],[COMA ADJUDICADO]]+BASE_GRAL[[#This Row],[AVI ADJUDICADO]]</f>
        <v>0</v>
      </c>
      <c r="AL17" s="124" t="s">
        <v>1223</v>
      </c>
      <c r="AM17" s="13" t="s">
        <v>316</v>
      </c>
      <c r="AN17" s="94">
        <v>43673</v>
      </c>
    </row>
    <row r="18" spans="1:40" x14ac:dyDescent="0.25">
      <c r="A18">
        <v>15</v>
      </c>
      <c r="B18" t="s">
        <v>1433</v>
      </c>
      <c r="C18">
        <f>IFERROR(INDEX(Tabla6[AÑO],MATCH(B18,Tabla6[Alias],0)),"")</f>
        <v>2017</v>
      </c>
      <c r="D18">
        <f>IFERROR(INDEX(Tabla6[DECRETO],MATCH(B18,Tabla6[Alias],0)),"")</f>
        <v>418</v>
      </c>
      <c r="E18" s="6">
        <f>IFERROR(INDEX(Tabla6[Fecha de Promulgación],MATCH(B18,Tabla6[Alias],0)),"")</f>
        <v>42920</v>
      </c>
      <c r="F18">
        <f>IFERROR(INDEX(Tabla6[Tabla],MATCH(B18,Tabla6[Alias],0)),"")</f>
        <v>17</v>
      </c>
      <c r="G18" s="5" t="str">
        <f>IFERROR(INDEX(Tabla6[Sistema],MATCH(B18,Tabla6[Alias],0)),"")</f>
        <v>E</v>
      </c>
      <c r="H18" s="5" t="str">
        <f>IFERROR(INDEX(Tabla6[ID_OBRA],MATCH(B18,Tabla6[Alias],0)),"")</f>
        <v>17_418_Z_OA_15</v>
      </c>
      <c r="I18" t="str">
        <f>IFERROR(INDEX(Tabla6[Nombre Obra],MATCH(B18,Tabla6[Alias],0)),"")</f>
        <v>Ampliación en S/E Alto Melipilla</v>
      </c>
      <c r="J18" t="str">
        <f>IFERROR(INDEX(Tabla6[Segmento],MATCH(B18,Tabla6[Alias],0)),"")</f>
        <v>ZONAL</v>
      </c>
      <c r="K18">
        <f>IFERROR(INDEX(Tabla6[Region],MATCH(B18,Tabla6[Alias],0)),"")</f>
        <v>0</v>
      </c>
      <c r="L18" s="13" t="str">
        <f>IFERROR(INDEX(Tabla6[Tipo de Obra],MATCH(B18,Tabla6[Alias],0))," ")</f>
        <v>OA</v>
      </c>
      <c r="M18" s="13" t="str">
        <f>IFERROR(INDEX(Tabla6[Tipo de Obras],MATCH(B18,Tabla6[Alias],0))," ")</f>
        <v>S/E</v>
      </c>
      <c r="N18" s="13">
        <f>IFERROR(INDEX(Tabla6[Plazo constructivo],MATCH(B18,Tabla6[Alias],0))," ")</f>
        <v>36</v>
      </c>
      <c r="O18" s="14">
        <f>IFERROR(INDEX(Tabla6[Fecha EO],MATCH(B18,Tabla6[Alias],0))," ")</f>
        <v>44166</v>
      </c>
      <c r="P18" s="95">
        <f>IFERROR(INDEX(Tabla6[AVI REF],MATCH(B18,Tabla6[Alias],0))," ")</f>
        <v>1010600</v>
      </c>
      <c r="Q18" s="95">
        <f>IFERROR(INDEX(Tabla6[COMA REF],MATCH(B18,Tabla6[Alias],0))," ")</f>
        <v>160300</v>
      </c>
      <c r="R18" s="95">
        <f>IFERROR(INDEX(Tabla6[VATT REF '[AVI + COMA']],MATCH(B18,Tabla6[Alias],0))," ")</f>
        <v>1170900</v>
      </c>
      <c r="S18" t="str">
        <f>IFERROR(INDEX(Tabla6[Propietario],MATCH(B18,Tabla6[Alias],0))," ")</f>
        <v>Chilquinta Energía S.A.</v>
      </c>
      <c r="T18" t="s">
        <v>44</v>
      </c>
      <c r="U18" t="s">
        <v>60</v>
      </c>
      <c r="V18" s="143" t="s">
        <v>176</v>
      </c>
      <c r="W18" s="13" t="s">
        <v>155</v>
      </c>
      <c r="X18" s="13" t="s">
        <v>109</v>
      </c>
      <c r="Z18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1_PROC_OA_17_G05</v>
      </c>
      <c r="AA1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8" s="25" t="s">
        <v>223</v>
      </c>
      <c r="AC18" s="5"/>
      <c r="AD18" s="5"/>
      <c r="AE18" s="123" t="s">
        <v>168</v>
      </c>
      <c r="AF18" s="94" t="str">
        <f>IFERROR(INDEX(Tabla10[ID],MATCH(BASE_GRAL[[#This Row],[EMPRESA ADJUDICADA]],Tabla10[Alias],0)),"")</f>
        <v>PROP_11</v>
      </c>
      <c r="AG18" s="94">
        <v>43287</v>
      </c>
      <c r="AH18" s="95">
        <v>12193505</v>
      </c>
      <c r="AI18" s="5"/>
      <c r="AJ18" s="5">
        <v>0</v>
      </c>
      <c r="AK18">
        <f>+BASE_GRAL[[#This Row],[COMA ADJUDICADO]]+BASE_GRAL[[#This Row],[AVI ADJUDICADO]]</f>
        <v>0</v>
      </c>
      <c r="AL18" s="124" t="s">
        <v>1223</v>
      </c>
      <c r="AM18" s="13" t="s">
        <v>316</v>
      </c>
      <c r="AN18" s="94">
        <v>43673</v>
      </c>
    </row>
    <row r="19" spans="1:40" x14ac:dyDescent="0.25">
      <c r="A19">
        <v>16</v>
      </c>
      <c r="B19" t="s">
        <v>1434</v>
      </c>
      <c r="C19">
        <f>IFERROR(INDEX(Tabla6[AÑO],MATCH(B19,Tabla6[Alias],0)),"")</f>
        <v>2017</v>
      </c>
      <c r="D19">
        <f>IFERROR(INDEX(Tabla6[DECRETO],MATCH(B19,Tabla6[Alias],0)),"")</f>
        <v>418</v>
      </c>
      <c r="E19" s="6">
        <f>IFERROR(INDEX(Tabla6[Fecha de Promulgación],MATCH(B19,Tabla6[Alias],0)),"")</f>
        <v>42920</v>
      </c>
      <c r="F19">
        <f>IFERROR(INDEX(Tabla6[Tabla],MATCH(B19,Tabla6[Alias],0)),"")</f>
        <v>17</v>
      </c>
      <c r="G19" s="5" t="str">
        <f>IFERROR(INDEX(Tabla6[Sistema],MATCH(B19,Tabla6[Alias],0)),"")</f>
        <v>E</v>
      </c>
      <c r="H19" s="5" t="str">
        <f>IFERROR(INDEX(Tabla6[ID_OBRA],MATCH(B19,Tabla6[Alias],0)),"")</f>
        <v>17_418_Z_OA_16</v>
      </c>
      <c r="I19" t="str">
        <f>IFERROR(INDEX(Tabla6[Nombre Obra],MATCH(B19,Tabla6[Alias],0)),"")</f>
        <v>Aumento de capacidad de transmisión en línea 1x66KV El Maitén - El Paico - El Monte</v>
      </c>
      <c r="J19" t="str">
        <f>IFERROR(INDEX(Tabla6[Segmento],MATCH(B19,Tabla6[Alias],0)),"")</f>
        <v>ZONAL</v>
      </c>
      <c r="K19">
        <f>IFERROR(INDEX(Tabla6[Region],MATCH(B19,Tabla6[Alias],0)),"")</f>
        <v>0</v>
      </c>
      <c r="L19" s="13" t="str">
        <f>IFERROR(INDEX(Tabla6[Tipo de Obra],MATCH(B19,Tabla6[Alias],0))," ")</f>
        <v>OA</v>
      </c>
      <c r="M19" s="13" t="str">
        <f>IFERROR(INDEX(Tabla6[Tipo de Obras],MATCH(B19,Tabla6[Alias],0))," ")</f>
        <v>S/E</v>
      </c>
      <c r="N19" s="13">
        <f>IFERROR(INDEX(Tabla6[Plazo constructivo],MATCH(B19,Tabla6[Alias],0))," ")</f>
        <v>24</v>
      </c>
      <c r="O19" s="14">
        <f>IFERROR(INDEX(Tabla6[Fecha EO],MATCH(B19,Tabla6[Alias],0))," ")</f>
        <v>43800</v>
      </c>
      <c r="P19" s="95">
        <f>IFERROR(INDEX(Tabla6[AVI REF],MATCH(B19,Tabla6[Alias],0))," ")</f>
        <v>341700</v>
      </c>
      <c r="Q19" s="95">
        <f>IFERROR(INDEX(Tabla6[COMA REF],MATCH(B19,Tabla6[Alias],0))," ")</f>
        <v>54200</v>
      </c>
      <c r="R19" s="95">
        <f>IFERROR(INDEX(Tabla6[VATT REF '[AVI + COMA']],MATCH(B19,Tabla6[Alias],0))," ")</f>
        <v>395900</v>
      </c>
      <c r="S19" t="str">
        <f>IFERROR(INDEX(Tabla6[Propietario],MATCH(B19,Tabla6[Alias],0))," ")</f>
        <v>CGE S.A.</v>
      </c>
      <c r="T19" t="s">
        <v>63</v>
      </c>
      <c r="U19" t="s">
        <v>64</v>
      </c>
      <c r="V19" s="143" t="s">
        <v>176</v>
      </c>
      <c r="W19" s="13" t="s">
        <v>155</v>
      </c>
      <c r="X19" s="13" t="s">
        <v>109</v>
      </c>
      <c r="Z19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1_PROC_OA_17_G05</v>
      </c>
      <c r="AA1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9" s="25" t="s">
        <v>224</v>
      </c>
      <c r="AC19" s="5"/>
      <c r="AD19" s="5"/>
      <c r="AE19" s="132" t="s">
        <v>317</v>
      </c>
      <c r="AF19" s="94" t="str">
        <f>IFERROR(INDEX(Tabla10[ID],MATCH(BASE_GRAL[[#This Row],[EMPRESA ADJUDICADA]],Tabla10[Alias],0)),"")</f>
        <v/>
      </c>
      <c r="AG19" s="94" t="s">
        <v>317</v>
      </c>
      <c r="AH19" s="13" t="s">
        <v>317</v>
      </c>
      <c r="AI19" s="5"/>
      <c r="AJ19" s="5">
        <v>0</v>
      </c>
      <c r="AK19">
        <f>+BASE_GRAL[[#This Row],[COMA ADJUDICADO]]+BASE_GRAL[[#This Row],[AVI ADJUDICADO]]</f>
        <v>0</v>
      </c>
      <c r="AL19" s="96" t="s">
        <v>1224</v>
      </c>
      <c r="AM19" s="13" t="s">
        <v>317</v>
      </c>
      <c r="AN19" s="94" t="s">
        <v>317</v>
      </c>
    </row>
    <row r="20" spans="1:40" x14ac:dyDescent="0.25">
      <c r="A20">
        <v>17</v>
      </c>
      <c r="B20" t="s">
        <v>1435</v>
      </c>
      <c r="C20">
        <f>IFERROR(INDEX(Tabla6[AÑO],MATCH(B20,Tabla6[Alias],0)),"")</f>
        <v>2017</v>
      </c>
      <c r="D20">
        <f>IFERROR(INDEX(Tabla6[DECRETO],MATCH(B20,Tabla6[Alias],0)),"")</f>
        <v>418</v>
      </c>
      <c r="E20" s="6">
        <f>IFERROR(INDEX(Tabla6[Fecha de Promulgación],MATCH(B20,Tabla6[Alias],0)),"")</f>
        <v>42920</v>
      </c>
      <c r="F20">
        <f>IFERROR(INDEX(Tabla6[Tabla],MATCH(B20,Tabla6[Alias],0)),"")</f>
        <v>15</v>
      </c>
      <c r="G20" s="5" t="str">
        <f>IFERROR(INDEX(Tabla6[Sistema],MATCH(B20,Tabla6[Alias],0)),"")</f>
        <v>C</v>
      </c>
      <c r="H20" s="5" t="str">
        <f>IFERROR(INDEX(Tabla6[ID_OBRA],MATCH(B20,Tabla6[Alias],0)),"")</f>
        <v>17_418_Z_OA_17</v>
      </c>
      <c r="I20" t="str">
        <f>IFERROR(INDEX(Tabla6[Nombre Obra],MATCH(B20,Tabla6[Alias],0)),"")</f>
        <v>Ampliación en S/E Catemu</v>
      </c>
      <c r="J20" t="str">
        <f>IFERROR(INDEX(Tabla6[Segmento],MATCH(B20,Tabla6[Alias],0)),"")</f>
        <v>ZONAL</v>
      </c>
      <c r="K20">
        <f>IFERROR(INDEX(Tabla6[Region],MATCH(B20,Tabla6[Alias],0)),"")</f>
        <v>0</v>
      </c>
      <c r="L20" s="13" t="str">
        <f>IFERROR(INDEX(Tabla6[Tipo de Obra],MATCH(B20,Tabla6[Alias],0))," ")</f>
        <v>OA</v>
      </c>
      <c r="M20" s="13" t="str">
        <f>IFERROR(INDEX(Tabla6[Tipo de Obras],MATCH(B20,Tabla6[Alias],0))," ")</f>
        <v>S/E</v>
      </c>
      <c r="N20" s="13">
        <f>IFERROR(INDEX(Tabla6[Plazo constructivo],MATCH(B20,Tabla6[Alias],0))," ")</f>
        <v>18</v>
      </c>
      <c r="O20" s="14">
        <f>IFERROR(INDEX(Tabla6[Fecha EO],MATCH(B20,Tabla6[Alias],0))," ")</f>
        <v>43617</v>
      </c>
      <c r="P20" s="95">
        <f>IFERROR(INDEX(Tabla6[AVI REF],MATCH(B20,Tabla6[Alias],0))," ")</f>
        <v>92200</v>
      </c>
      <c r="Q20" s="95">
        <f>IFERROR(INDEX(Tabla6[COMA REF],MATCH(B20,Tabla6[Alias],0))," ")</f>
        <v>14600</v>
      </c>
      <c r="R20" s="95">
        <f>IFERROR(INDEX(Tabla6[VATT REF '[AVI + COMA']],MATCH(B20,Tabla6[Alias],0))," ")</f>
        <v>106800</v>
      </c>
      <c r="S20" t="str">
        <f>IFERROR(INDEX(Tabla6[Propietario],MATCH(B20,Tabla6[Alias],0))," ")</f>
        <v>Chilquinta Energía S.A.</v>
      </c>
      <c r="T20" t="s">
        <v>44</v>
      </c>
      <c r="V20" s="143" t="s">
        <v>176</v>
      </c>
      <c r="W20" s="13" t="s">
        <v>155</v>
      </c>
      <c r="X20" s="13" t="s">
        <v>108</v>
      </c>
      <c r="Z20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1_PROC_OA_17_G06</v>
      </c>
      <c r="AA2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0" s="25" t="s">
        <v>225</v>
      </c>
      <c r="AC20" s="5"/>
      <c r="AD20" s="5"/>
      <c r="AE20" s="132" t="s">
        <v>317</v>
      </c>
      <c r="AF20" s="94" t="str">
        <f>IFERROR(INDEX(Tabla10[ID],MATCH(BASE_GRAL[[#This Row],[EMPRESA ADJUDICADA]],Tabla10[Alias],0)),"")</f>
        <v/>
      </c>
      <c r="AG20" s="94" t="s">
        <v>317</v>
      </c>
      <c r="AH20" s="13" t="s">
        <v>317</v>
      </c>
      <c r="AI20" s="5"/>
      <c r="AJ20" s="5">
        <v>0</v>
      </c>
      <c r="AK20">
        <f>+BASE_GRAL[[#This Row],[COMA ADJUDICADO]]+BASE_GRAL[[#This Row],[AVI ADJUDICADO]]</f>
        <v>0</v>
      </c>
      <c r="AL20" s="125" t="s">
        <v>1230</v>
      </c>
      <c r="AM20" s="13" t="s">
        <v>317</v>
      </c>
      <c r="AN20" s="94" t="s">
        <v>317</v>
      </c>
    </row>
    <row r="21" spans="1:40" x14ac:dyDescent="0.25">
      <c r="A21">
        <v>18</v>
      </c>
      <c r="B21" t="s">
        <v>1436</v>
      </c>
      <c r="C21">
        <f>IFERROR(INDEX(Tabla6[AÑO],MATCH(B21,Tabla6[Alias],0)),"")</f>
        <v>2017</v>
      </c>
      <c r="D21">
        <f>IFERROR(INDEX(Tabla6[DECRETO],MATCH(B21,Tabla6[Alias],0)),"")</f>
        <v>418</v>
      </c>
      <c r="E21" s="6">
        <f>IFERROR(INDEX(Tabla6[Fecha de Promulgación],MATCH(B21,Tabla6[Alias],0)),"")</f>
        <v>42920</v>
      </c>
      <c r="F21">
        <f>IFERROR(INDEX(Tabla6[Tabla],MATCH(B21,Tabla6[Alias],0)),"")</f>
        <v>15</v>
      </c>
      <c r="G21" s="5" t="str">
        <f>IFERROR(INDEX(Tabla6[Sistema],MATCH(B21,Tabla6[Alias],0)),"")</f>
        <v>C</v>
      </c>
      <c r="H21" s="5" t="str">
        <f>IFERROR(INDEX(Tabla6[ID_OBRA],MATCH(B21,Tabla6[Alias],0)),"")</f>
        <v>17_418_Z_OA_18</v>
      </c>
      <c r="I21" t="str">
        <f>IFERROR(INDEX(Tabla6[Nombre Obra],MATCH(B21,Tabla6[Alias],0)),"")</f>
        <v>Ampliación en S/E Río Blanco</v>
      </c>
      <c r="J21" t="str">
        <f>IFERROR(INDEX(Tabla6[Segmento],MATCH(B21,Tabla6[Alias],0)),"")</f>
        <v>ZONAL</v>
      </c>
      <c r="K21">
        <f>IFERROR(INDEX(Tabla6[Region],MATCH(B21,Tabla6[Alias],0)),"")</f>
        <v>0</v>
      </c>
      <c r="L21" s="13" t="str">
        <f>IFERROR(INDEX(Tabla6[Tipo de Obra],MATCH(B21,Tabla6[Alias],0))," ")</f>
        <v>OA</v>
      </c>
      <c r="M21" s="13" t="str">
        <f>IFERROR(INDEX(Tabla6[Tipo de Obras],MATCH(B21,Tabla6[Alias],0))," ")</f>
        <v>S/E</v>
      </c>
      <c r="N21" s="13">
        <f>IFERROR(INDEX(Tabla6[Plazo constructivo],MATCH(B21,Tabla6[Alias],0))," ")</f>
        <v>18</v>
      </c>
      <c r="O21" s="14">
        <f>IFERROR(INDEX(Tabla6[Fecha EO],MATCH(B21,Tabla6[Alias],0))," ")</f>
        <v>43617</v>
      </c>
      <c r="P21" s="95">
        <f>IFERROR(INDEX(Tabla6[AVI REF],MATCH(B21,Tabla6[Alias],0))," ")</f>
        <v>25500</v>
      </c>
      <c r="Q21" s="95">
        <f>IFERROR(INDEX(Tabla6[COMA REF],MATCH(B21,Tabla6[Alias],0))," ")</f>
        <v>4000</v>
      </c>
      <c r="R21" s="95">
        <f>IFERROR(INDEX(Tabla6[VATT REF '[AVI + COMA']],MATCH(B21,Tabla6[Alias],0))," ")</f>
        <v>29500</v>
      </c>
      <c r="S21" t="str">
        <f>IFERROR(INDEX(Tabla6[Propietario],MATCH(B21,Tabla6[Alias],0))," ")</f>
        <v>Chilquinta Energía S.A.</v>
      </c>
      <c r="T21" t="s">
        <v>44</v>
      </c>
      <c r="V21" s="143" t="s">
        <v>176</v>
      </c>
      <c r="W21" s="13" t="s">
        <v>155</v>
      </c>
      <c r="X21" s="13" t="s">
        <v>108</v>
      </c>
      <c r="Z21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1_PROC_OA_17_G06</v>
      </c>
      <c r="AA21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1" s="25" t="s">
        <v>226</v>
      </c>
      <c r="AC21" s="5"/>
      <c r="AD21" s="5"/>
      <c r="AE21" s="132" t="s">
        <v>317</v>
      </c>
      <c r="AF21" s="94" t="str">
        <f>IFERROR(INDEX(Tabla10[ID],MATCH(BASE_GRAL[[#This Row],[EMPRESA ADJUDICADA]],Tabla10[Alias],0)),"")</f>
        <v/>
      </c>
      <c r="AG21" s="94" t="s">
        <v>317</v>
      </c>
      <c r="AH21" s="13" t="s">
        <v>317</v>
      </c>
      <c r="AI21" s="5"/>
      <c r="AJ21" s="5">
        <v>0</v>
      </c>
      <c r="AK21">
        <f>+BASE_GRAL[[#This Row],[COMA ADJUDICADO]]+BASE_GRAL[[#This Row],[AVI ADJUDICADO]]</f>
        <v>0</v>
      </c>
      <c r="AL21" s="125" t="s">
        <v>1230</v>
      </c>
      <c r="AM21" s="13" t="s">
        <v>317</v>
      </c>
      <c r="AN21" s="94" t="s">
        <v>317</v>
      </c>
    </row>
    <row r="22" spans="1:40" x14ac:dyDescent="0.25">
      <c r="A22">
        <v>19</v>
      </c>
      <c r="B22" t="s">
        <v>1437</v>
      </c>
      <c r="C22">
        <f>IFERROR(INDEX(Tabla6[AÑO],MATCH(B22,Tabla6[Alias],0)),"")</f>
        <v>2017</v>
      </c>
      <c r="D22">
        <f>IFERROR(INDEX(Tabla6[DECRETO],MATCH(B22,Tabla6[Alias],0)),"")</f>
        <v>418</v>
      </c>
      <c r="E22" s="6">
        <f>IFERROR(INDEX(Tabla6[Fecha de Promulgación],MATCH(B22,Tabla6[Alias],0)),"")</f>
        <v>42920</v>
      </c>
      <c r="F22">
        <f>IFERROR(INDEX(Tabla6[Tabla],MATCH(B22,Tabla6[Alias],0)),"")</f>
        <v>15</v>
      </c>
      <c r="G22" s="5" t="str">
        <f>IFERROR(INDEX(Tabla6[Sistema],MATCH(B22,Tabla6[Alias],0)),"")</f>
        <v>C</v>
      </c>
      <c r="H22" s="5" t="str">
        <f>IFERROR(INDEX(Tabla6[ID_OBRA],MATCH(B22,Tabla6[Alias],0)),"")</f>
        <v>17_418_Z_OA_19</v>
      </c>
      <c r="I22" t="str">
        <f>IFERROR(INDEX(Tabla6[Nombre Obra],MATCH(B22,Tabla6[Alias],0)),"")</f>
        <v>Ampliación en S/E San Felipe</v>
      </c>
      <c r="J22" t="str">
        <f>IFERROR(INDEX(Tabla6[Segmento],MATCH(B22,Tabla6[Alias],0)),"")</f>
        <v>ZONAL</v>
      </c>
      <c r="K22">
        <f>IFERROR(INDEX(Tabla6[Region],MATCH(B22,Tabla6[Alias],0)),"")</f>
        <v>0</v>
      </c>
      <c r="L22" s="13" t="str">
        <f>IFERROR(INDEX(Tabla6[Tipo de Obra],MATCH(B22,Tabla6[Alias],0))," ")</f>
        <v>OA</v>
      </c>
      <c r="M22" s="13" t="str">
        <f>IFERROR(INDEX(Tabla6[Tipo de Obras],MATCH(B22,Tabla6[Alias],0))," ")</f>
        <v>S/E</v>
      </c>
      <c r="N22" s="13">
        <f>IFERROR(INDEX(Tabla6[Plazo constructivo],MATCH(B22,Tabla6[Alias],0))," ")</f>
        <v>18</v>
      </c>
      <c r="O22" s="14">
        <f>IFERROR(INDEX(Tabla6[Fecha EO],MATCH(B22,Tabla6[Alias],0))," ")</f>
        <v>43617</v>
      </c>
      <c r="P22" s="95">
        <f>IFERROR(INDEX(Tabla6[AVI REF],MATCH(B22,Tabla6[Alias],0))," ")</f>
        <v>189500</v>
      </c>
      <c r="Q22" s="95">
        <f>IFERROR(INDEX(Tabla6[COMA REF],MATCH(B22,Tabla6[Alias],0))," ")</f>
        <v>30100</v>
      </c>
      <c r="R22" s="95">
        <f>IFERROR(INDEX(Tabla6[VATT REF '[AVI + COMA']],MATCH(B22,Tabla6[Alias],0))," ")</f>
        <v>219600</v>
      </c>
      <c r="S22" t="str">
        <f>IFERROR(INDEX(Tabla6[Propietario],MATCH(B22,Tabla6[Alias],0))," ")</f>
        <v>Chilquinta Energía S.A.</v>
      </c>
      <c r="T22" t="s">
        <v>44</v>
      </c>
      <c r="V22" s="143" t="s">
        <v>176</v>
      </c>
      <c r="W22" s="13" t="s">
        <v>155</v>
      </c>
      <c r="X22" s="13" t="s">
        <v>108</v>
      </c>
      <c r="Z22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1_PROC_OA_17_G06</v>
      </c>
      <c r="AA2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2" s="25" t="s">
        <v>227</v>
      </c>
      <c r="AC22" s="5"/>
      <c r="AD22" s="5"/>
      <c r="AE22" s="132" t="s">
        <v>317</v>
      </c>
      <c r="AF22" s="94" t="str">
        <f>IFERROR(INDEX(Tabla10[ID],MATCH(BASE_GRAL[[#This Row],[EMPRESA ADJUDICADA]],Tabla10[Alias],0)),"")</f>
        <v/>
      </c>
      <c r="AG22" s="94" t="s">
        <v>317</v>
      </c>
      <c r="AH22" s="13" t="s">
        <v>317</v>
      </c>
      <c r="AI22" s="5"/>
      <c r="AJ22" s="5">
        <v>0</v>
      </c>
      <c r="AK22">
        <f>+BASE_GRAL[[#This Row],[COMA ADJUDICADO]]+BASE_GRAL[[#This Row],[AVI ADJUDICADO]]</f>
        <v>0</v>
      </c>
      <c r="AL22" s="125" t="s">
        <v>1230</v>
      </c>
      <c r="AM22" s="13" t="s">
        <v>317</v>
      </c>
      <c r="AN22" s="94" t="s">
        <v>317</v>
      </c>
    </row>
    <row r="23" spans="1:40" x14ac:dyDescent="0.25">
      <c r="A23">
        <v>20</v>
      </c>
      <c r="B23" t="s">
        <v>1438</v>
      </c>
      <c r="C23">
        <f>IFERROR(INDEX(Tabla6[AÑO],MATCH(B23,Tabla6[Alias],0)),"")</f>
        <v>2017</v>
      </c>
      <c r="D23">
        <f>IFERROR(INDEX(Tabla6[DECRETO],MATCH(B23,Tabla6[Alias],0)),"")</f>
        <v>418</v>
      </c>
      <c r="E23" s="6">
        <f>IFERROR(INDEX(Tabla6[Fecha de Promulgación],MATCH(B23,Tabla6[Alias],0)),"")</f>
        <v>42920</v>
      </c>
      <c r="F23">
        <f>IFERROR(INDEX(Tabla6[Tabla],MATCH(B23,Tabla6[Alias],0)),"")</f>
        <v>16</v>
      </c>
      <c r="G23" s="5" t="str">
        <f>IFERROR(INDEX(Tabla6[Sistema],MATCH(B23,Tabla6[Alias],0)),"")</f>
        <v>D</v>
      </c>
      <c r="H23" s="5" t="str">
        <f>IFERROR(INDEX(Tabla6[ID_OBRA],MATCH(B23,Tabla6[Alias],0)),"")</f>
        <v>17_418_Z_OA_20</v>
      </c>
      <c r="I23" t="str">
        <f>IFERROR(INDEX(Tabla6[Nombre Obra],MATCH(B23,Tabla6[Alias],0)),"")</f>
        <v>Ampliación en S/E Altamirano</v>
      </c>
      <c r="J23" t="str">
        <f>IFERROR(INDEX(Tabla6[Segmento],MATCH(B23,Tabla6[Alias],0)),"")</f>
        <v>ZONAL</v>
      </c>
      <c r="K23">
        <f>IFERROR(INDEX(Tabla6[Region],MATCH(B23,Tabla6[Alias],0)),"")</f>
        <v>0</v>
      </c>
      <c r="L23" s="13" t="str">
        <f>IFERROR(INDEX(Tabla6[Tipo de Obra],MATCH(B23,Tabla6[Alias],0))," ")</f>
        <v>OA</v>
      </c>
      <c r="M23" s="13" t="str">
        <f>IFERROR(INDEX(Tabla6[Tipo de Obras],MATCH(B23,Tabla6[Alias],0))," ")</f>
        <v>S/E</v>
      </c>
      <c r="N23" s="13">
        <f>IFERROR(INDEX(Tabla6[Plazo constructivo],MATCH(B23,Tabla6[Alias],0))," ")</f>
        <v>18</v>
      </c>
      <c r="O23" s="14">
        <f>IFERROR(INDEX(Tabla6[Fecha EO],MATCH(B23,Tabla6[Alias],0))," ")</f>
        <v>43617</v>
      </c>
      <c r="P23" s="95">
        <f>IFERROR(INDEX(Tabla6[AVI REF],MATCH(B23,Tabla6[Alias],0))," ")</f>
        <v>269600</v>
      </c>
      <c r="Q23" s="95">
        <f>IFERROR(INDEX(Tabla6[COMA REF],MATCH(B23,Tabla6[Alias],0))," ")</f>
        <v>42800</v>
      </c>
      <c r="R23" s="95">
        <f>IFERROR(INDEX(Tabla6[VATT REF '[AVI + COMA']],MATCH(B23,Tabla6[Alias],0))," ")</f>
        <v>312400</v>
      </c>
      <c r="S23" t="str">
        <f>IFERROR(INDEX(Tabla6[Propietario],MATCH(B23,Tabla6[Alias],0))," ")</f>
        <v>Enel Distribución S.A.</v>
      </c>
      <c r="T23" t="s">
        <v>44</v>
      </c>
      <c r="U23" t="s">
        <v>46</v>
      </c>
      <c r="V23" s="143" t="s">
        <v>176</v>
      </c>
      <c r="W23" s="13" t="s">
        <v>155</v>
      </c>
      <c r="X23" s="13" t="s">
        <v>110</v>
      </c>
      <c r="Z23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1_PROC_OA_17_G07</v>
      </c>
      <c r="AA2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3" s="25" t="s">
        <v>228</v>
      </c>
      <c r="AC23" s="5"/>
      <c r="AD23" s="5"/>
      <c r="AE23" s="123" t="s">
        <v>1280</v>
      </c>
      <c r="AF23" s="94" t="str">
        <f>IFERROR(INDEX(Tabla10[ID],MATCH(BASE_GRAL[[#This Row],[EMPRESA ADJUDICADA]],Tabla10[Alias],0)),"")</f>
        <v>PROP_10</v>
      </c>
      <c r="AG23" s="94">
        <v>43287</v>
      </c>
      <c r="AH23" s="95">
        <v>5674493.8972842162</v>
      </c>
      <c r="AI23" s="5"/>
      <c r="AJ23" s="5">
        <v>0</v>
      </c>
      <c r="AK23">
        <f>+BASE_GRAL[[#This Row],[COMA ADJUDICADO]]+BASE_GRAL[[#This Row],[AVI ADJUDICADO]]</f>
        <v>0</v>
      </c>
      <c r="AL23" s="124" t="s">
        <v>1223</v>
      </c>
      <c r="AM23" s="13" t="s">
        <v>316</v>
      </c>
      <c r="AN23" s="94">
        <v>43673</v>
      </c>
    </row>
    <row r="24" spans="1:40" x14ac:dyDescent="0.25">
      <c r="A24">
        <v>21</v>
      </c>
      <c r="B24" t="s">
        <v>1439</v>
      </c>
      <c r="C24">
        <f>IFERROR(INDEX(Tabla6[AÑO],MATCH(B24,Tabla6[Alias],0)),"")</f>
        <v>2017</v>
      </c>
      <c r="D24">
        <f>IFERROR(INDEX(Tabla6[DECRETO],MATCH(B24,Tabla6[Alias],0)),"")</f>
        <v>418</v>
      </c>
      <c r="E24" s="6">
        <f>IFERROR(INDEX(Tabla6[Fecha de Promulgación],MATCH(B24,Tabla6[Alias],0)),"")</f>
        <v>42920</v>
      </c>
      <c r="F24">
        <f>IFERROR(INDEX(Tabla6[Tabla],MATCH(B24,Tabla6[Alias],0)),"")</f>
        <v>16</v>
      </c>
      <c r="G24" s="5" t="str">
        <f>IFERROR(INDEX(Tabla6[Sistema],MATCH(B24,Tabla6[Alias],0)),"")</f>
        <v>D</v>
      </c>
      <c r="H24" s="5" t="str">
        <f>IFERROR(INDEX(Tabla6[ID_OBRA],MATCH(B24,Tabla6[Alias],0)),"")</f>
        <v>17_418_Z_OA_21</v>
      </c>
      <c r="I24" t="str">
        <f>IFERROR(INDEX(Tabla6[Nombre Obra],MATCH(B24,Tabla6[Alias],0)),"")</f>
        <v>Ampliación en S/E Macul</v>
      </c>
      <c r="J24" t="str">
        <f>IFERROR(INDEX(Tabla6[Segmento],MATCH(B24,Tabla6[Alias],0)),"")</f>
        <v>ZONAL</v>
      </c>
      <c r="K24">
        <f>IFERROR(INDEX(Tabla6[Region],MATCH(B24,Tabla6[Alias],0)),"")</f>
        <v>0</v>
      </c>
      <c r="L24" s="13" t="str">
        <f>IFERROR(INDEX(Tabla6[Tipo de Obra],MATCH(B24,Tabla6[Alias],0))," ")</f>
        <v>OA</v>
      </c>
      <c r="M24" s="13" t="str">
        <f>IFERROR(INDEX(Tabla6[Tipo de Obras],MATCH(B24,Tabla6[Alias],0))," ")</f>
        <v>S/E</v>
      </c>
      <c r="N24" s="13">
        <f>IFERROR(INDEX(Tabla6[Plazo constructivo],MATCH(B24,Tabla6[Alias],0))," ")</f>
        <v>18</v>
      </c>
      <c r="O24" s="14">
        <f>IFERROR(INDEX(Tabla6[Fecha EO],MATCH(B24,Tabla6[Alias],0))," ")</f>
        <v>43617</v>
      </c>
      <c r="P24" s="95">
        <f>IFERROR(INDEX(Tabla6[AVI REF],MATCH(B24,Tabla6[Alias],0))," ")</f>
        <v>201200</v>
      </c>
      <c r="Q24" s="95">
        <f>IFERROR(INDEX(Tabla6[COMA REF],MATCH(B24,Tabla6[Alias],0))," ")</f>
        <v>31900</v>
      </c>
      <c r="R24" s="95">
        <f>IFERROR(INDEX(Tabla6[VATT REF '[AVI + COMA']],MATCH(B24,Tabla6[Alias],0))," ")</f>
        <v>233100</v>
      </c>
      <c r="S24" t="str">
        <f>IFERROR(INDEX(Tabla6[Propietario],MATCH(B24,Tabla6[Alias],0))," ")</f>
        <v>Enel Distribución S.A.</v>
      </c>
      <c r="T24" t="s">
        <v>44</v>
      </c>
      <c r="U24" t="s">
        <v>47</v>
      </c>
      <c r="V24" s="143" t="s">
        <v>176</v>
      </c>
      <c r="W24" s="13" t="s">
        <v>155</v>
      </c>
      <c r="X24" s="13" t="s">
        <v>110</v>
      </c>
      <c r="Z24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1_PROC_OA_17_G07</v>
      </c>
      <c r="AA2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4" s="25" t="s">
        <v>229</v>
      </c>
      <c r="AC24" s="5"/>
      <c r="AD24" s="5"/>
      <c r="AE24" s="123" t="s">
        <v>1280</v>
      </c>
      <c r="AF24" s="94" t="str">
        <f>IFERROR(INDEX(Tabla10[ID],MATCH(BASE_GRAL[[#This Row],[EMPRESA ADJUDICADA]],Tabla10[Alias],0)),"")</f>
        <v>PROP_10</v>
      </c>
      <c r="AG24" s="94">
        <v>43287</v>
      </c>
      <c r="AH24" s="95">
        <v>4234822.5969346594</v>
      </c>
      <c r="AI24" s="5"/>
      <c r="AJ24" s="5">
        <v>0</v>
      </c>
      <c r="AK24">
        <f>+BASE_GRAL[[#This Row],[COMA ADJUDICADO]]+BASE_GRAL[[#This Row],[AVI ADJUDICADO]]</f>
        <v>0</v>
      </c>
      <c r="AL24" s="124" t="s">
        <v>1223</v>
      </c>
      <c r="AM24" s="13" t="s">
        <v>316</v>
      </c>
      <c r="AN24" s="94">
        <v>43673</v>
      </c>
    </row>
    <row r="25" spans="1:40" x14ac:dyDescent="0.25">
      <c r="A25">
        <v>22</v>
      </c>
      <c r="B25" t="s">
        <v>1440</v>
      </c>
      <c r="C25">
        <f>IFERROR(INDEX(Tabla6[AÑO],MATCH(B25,Tabla6[Alias],0)),"")</f>
        <v>2017</v>
      </c>
      <c r="D25">
        <f>IFERROR(INDEX(Tabla6[DECRETO],MATCH(B25,Tabla6[Alias],0)),"")</f>
        <v>418</v>
      </c>
      <c r="E25" s="6">
        <f>IFERROR(INDEX(Tabla6[Fecha de Promulgación],MATCH(B25,Tabla6[Alias],0)),"")</f>
        <v>42920</v>
      </c>
      <c r="F25">
        <f>IFERROR(INDEX(Tabla6[Tabla],MATCH(B25,Tabla6[Alias],0)),"")</f>
        <v>16</v>
      </c>
      <c r="G25" s="5" t="str">
        <f>IFERROR(INDEX(Tabla6[Sistema],MATCH(B25,Tabla6[Alias],0)),"")</f>
        <v>D</v>
      </c>
      <c r="H25" s="5" t="str">
        <f>IFERROR(INDEX(Tabla6[ID_OBRA],MATCH(B25,Tabla6[Alias],0)),"")</f>
        <v>17_418_Z_OA_22</v>
      </c>
      <c r="I25" t="str">
        <f>IFERROR(INDEX(Tabla6[Nombre Obra],MATCH(B25,Tabla6[Alias],0)),"")</f>
        <v>Ampliación en S/E Dehesa</v>
      </c>
      <c r="J25" t="str">
        <f>IFERROR(INDEX(Tabla6[Segmento],MATCH(B25,Tabla6[Alias],0)),"")</f>
        <v>ZONAL</v>
      </c>
      <c r="K25">
        <f>IFERROR(INDEX(Tabla6[Region],MATCH(B25,Tabla6[Alias],0)),"")</f>
        <v>0</v>
      </c>
      <c r="L25" s="13" t="str">
        <f>IFERROR(INDEX(Tabla6[Tipo de Obra],MATCH(B25,Tabla6[Alias],0))," ")</f>
        <v>OA</v>
      </c>
      <c r="M25" s="13" t="str">
        <f>IFERROR(INDEX(Tabla6[Tipo de Obras],MATCH(B25,Tabla6[Alias],0))," ")</f>
        <v>S/E</v>
      </c>
      <c r="N25" s="13">
        <f>IFERROR(INDEX(Tabla6[Plazo constructivo],MATCH(B25,Tabla6[Alias],0))," ")</f>
        <v>18</v>
      </c>
      <c r="O25" s="14">
        <f>IFERROR(INDEX(Tabla6[Fecha EO],MATCH(B25,Tabla6[Alias],0))," ")</f>
        <v>43617</v>
      </c>
      <c r="P25" s="95">
        <f>IFERROR(INDEX(Tabla6[AVI REF],MATCH(B25,Tabla6[Alias],0))," ")</f>
        <v>273000</v>
      </c>
      <c r="Q25" s="95">
        <f>IFERROR(INDEX(Tabla6[COMA REF],MATCH(B25,Tabla6[Alias],0))," ")</f>
        <v>43300</v>
      </c>
      <c r="R25" s="95">
        <f>IFERROR(INDEX(Tabla6[VATT REF '[AVI + COMA']],MATCH(B25,Tabla6[Alias],0))," ")</f>
        <v>316300</v>
      </c>
      <c r="S25" t="str">
        <f>IFERROR(INDEX(Tabla6[Propietario],MATCH(B25,Tabla6[Alias],0))," ")</f>
        <v>Enel Distribución S.A.</v>
      </c>
      <c r="T25" t="s">
        <v>44</v>
      </c>
      <c r="U25" t="s">
        <v>49</v>
      </c>
      <c r="V25" s="143" t="s">
        <v>176</v>
      </c>
      <c r="W25" s="13" t="s">
        <v>155</v>
      </c>
      <c r="X25" s="13" t="s">
        <v>110</v>
      </c>
      <c r="Z25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1_PROC_OA_17_G07</v>
      </c>
      <c r="AA2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5" s="25" t="s">
        <v>230</v>
      </c>
      <c r="AC25" s="5"/>
      <c r="AD25" s="5"/>
      <c r="AE25" s="123" t="s">
        <v>168</v>
      </c>
      <c r="AF25" s="94" t="str">
        <f>IFERROR(INDEX(Tabla10[ID],MATCH(BASE_GRAL[[#This Row],[EMPRESA ADJUDICADA]],Tabla10[Alias],0)),"")</f>
        <v>PROP_11</v>
      </c>
      <c r="AG25" s="94">
        <v>43287</v>
      </c>
      <c r="AH25" s="95">
        <v>5719251.4955372605</v>
      </c>
      <c r="AI25" s="5"/>
      <c r="AJ25" s="5">
        <v>0</v>
      </c>
      <c r="AK25">
        <f>+BASE_GRAL[[#This Row],[COMA ADJUDICADO]]+BASE_GRAL[[#This Row],[AVI ADJUDICADO]]</f>
        <v>0</v>
      </c>
      <c r="AL25" s="124" t="s">
        <v>1223</v>
      </c>
      <c r="AM25" s="13" t="s">
        <v>316</v>
      </c>
      <c r="AN25" s="94">
        <v>43673</v>
      </c>
    </row>
    <row r="26" spans="1:40" x14ac:dyDescent="0.25">
      <c r="A26">
        <v>23</v>
      </c>
      <c r="B26" t="s">
        <v>1441</v>
      </c>
      <c r="C26">
        <f>IFERROR(INDEX(Tabla6[AÑO],MATCH(B26,Tabla6[Alias],0)),"")</f>
        <v>2017</v>
      </c>
      <c r="D26">
        <f>IFERROR(INDEX(Tabla6[DECRETO],MATCH(B26,Tabla6[Alias],0)),"")</f>
        <v>418</v>
      </c>
      <c r="E26" s="6">
        <f>IFERROR(INDEX(Tabla6[Fecha de Promulgación],MATCH(B26,Tabla6[Alias],0)),"")</f>
        <v>42920</v>
      </c>
      <c r="F26">
        <f>IFERROR(INDEX(Tabla6[Tabla],MATCH(B26,Tabla6[Alias],0)),"")</f>
        <v>16</v>
      </c>
      <c r="G26" s="5" t="str">
        <f>IFERROR(INDEX(Tabla6[Sistema],MATCH(B26,Tabla6[Alias],0)),"")</f>
        <v>D</v>
      </c>
      <c r="H26" s="5" t="str">
        <f>IFERROR(INDEX(Tabla6[ID_OBRA],MATCH(B26,Tabla6[Alias],0)),"")</f>
        <v>17_418_Z_OA_23</v>
      </c>
      <c r="I26" t="str">
        <f>IFERROR(INDEX(Tabla6[Nombre Obra],MATCH(B26,Tabla6[Alias],0)),"")</f>
        <v>Seccionamiento en S/E Pirque</v>
      </c>
      <c r="J26" t="str">
        <f>IFERROR(INDEX(Tabla6[Segmento],MATCH(B26,Tabla6[Alias],0)),"")</f>
        <v>ZONAL</v>
      </c>
      <c r="K26">
        <f>IFERROR(INDEX(Tabla6[Region],MATCH(B26,Tabla6[Alias],0)),"")</f>
        <v>0</v>
      </c>
      <c r="L26" s="13" t="str">
        <f>IFERROR(INDEX(Tabla6[Tipo de Obra],MATCH(B26,Tabla6[Alias],0))," ")</f>
        <v>OA</v>
      </c>
      <c r="M26" s="13" t="str">
        <f>IFERROR(INDEX(Tabla6[Tipo de Obras],MATCH(B26,Tabla6[Alias],0))," ")</f>
        <v>S/E</v>
      </c>
      <c r="N26" s="13">
        <f>IFERROR(INDEX(Tabla6[Plazo constructivo],MATCH(B26,Tabla6[Alias],0))," ")</f>
        <v>18</v>
      </c>
      <c r="O26" s="14">
        <f>IFERROR(INDEX(Tabla6[Fecha EO],MATCH(B26,Tabla6[Alias],0))," ")</f>
        <v>43617</v>
      </c>
      <c r="P26" s="95">
        <f>IFERROR(INDEX(Tabla6[AVI REF],MATCH(B26,Tabla6[Alias],0))," ")</f>
        <v>152600</v>
      </c>
      <c r="Q26" s="95">
        <f>IFERROR(INDEX(Tabla6[COMA REF],MATCH(B26,Tabla6[Alias],0))," ")</f>
        <v>24200</v>
      </c>
      <c r="R26" s="95">
        <f>IFERROR(INDEX(Tabla6[VATT REF '[AVI + COMA']],MATCH(B26,Tabla6[Alias],0))," ")</f>
        <v>176800</v>
      </c>
      <c r="S26" t="str">
        <f>IFERROR(INDEX(Tabla6[Propietario],MATCH(B26,Tabla6[Alias],0))," ")</f>
        <v>CMPC Papeles Cordillera</v>
      </c>
      <c r="T26" t="s">
        <v>54</v>
      </c>
      <c r="U26" t="s">
        <v>51</v>
      </c>
      <c r="V26" s="143" t="s">
        <v>176</v>
      </c>
      <c r="W26" s="13" t="s">
        <v>155</v>
      </c>
      <c r="X26" s="13" t="s">
        <v>111</v>
      </c>
      <c r="Z26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1_PROC_OA_17_G08</v>
      </c>
      <c r="AA2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6" s="25" t="s">
        <v>231</v>
      </c>
      <c r="AC26" s="5"/>
      <c r="AD26" s="5"/>
      <c r="AE26" s="123" t="s">
        <v>1280</v>
      </c>
      <c r="AF26" s="94" t="str">
        <f>IFERROR(INDEX(Tabla10[ID],MATCH(BASE_GRAL[[#This Row],[EMPRESA ADJUDICADA]],Tabla10[Alias],0)),"")</f>
        <v>PROP_10</v>
      </c>
      <c r="AG26" s="94">
        <v>43287</v>
      </c>
      <c r="AH26" s="95">
        <v>5746056.5057811243</v>
      </c>
      <c r="AI26" s="5"/>
      <c r="AJ26" s="5">
        <v>0</v>
      </c>
      <c r="AK26">
        <f>+BASE_GRAL[[#This Row],[COMA ADJUDICADO]]+BASE_GRAL[[#This Row],[AVI ADJUDICADO]]</f>
        <v>0</v>
      </c>
      <c r="AL26" s="124" t="s">
        <v>1223</v>
      </c>
      <c r="AM26" s="13" t="s">
        <v>316</v>
      </c>
      <c r="AN26" s="94">
        <v>43673</v>
      </c>
    </row>
    <row r="27" spans="1:40" x14ac:dyDescent="0.25">
      <c r="A27">
        <v>24</v>
      </c>
      <c r="B27" t="s">
        <v>1442</v>
      </c>
      <c r="C27">
        <f>IFERROR(INDEX(Tabla6[AÑO],MATCH(B27,Tabla6[Alias],0)),"")</f>
        <v>2017</v>
      </c>
      <c r="D27">
        <f>IFERROR(INDEX(Tabla6[DECRETO],MATCH(B27,Tabla6[Alias],0)),"")</f>
        <v>418</v>
      </c>
      <c r="E27" s="6">
        <f>IFERROR(INDEX(Tabla6[Fecha de Promulgación],MATCH(B27,Tabla6[Alias],0)),"")</f>
        <v>42920</v>
      </c>
      <c r="F27">
        <f>IFERROR(INDEX(Tabla6[Tabla],MATCH(B27,Tabla6[Alias],0)),"")</f>
        <v>16</v>
      </c>
      <c r="G27" s="5" t="str">
        <f>IFERROR(INDEX(Tabla6[Sistema],MATCH(B27,Tabla6[Alias],0)),"")</f>
        <v>D</v>
      </c>
      <c r="H27" s="5" t="str">
        <f>IFERROR(INDEX(Tabla6[ID_OBRA],MATCH(B27,Tabla6[Alias],0)),"")</f>
        <v>17_418_Z_OA_24</v>
      </c>
      <c r="I27" t="str">
        <f>IFERROR(INDEX(Tabla6[Nombre Obra],MATCH(B27,Tabla6[Alias],0)),"")</f>
        <v>Ampliación en S/E Pirque</v>
      </c>
      <c r="J27" t="str">
        <f>IFERROR(INDEX(Tabla6[Segmento],MATCH(B27,Tabla6[Alias],0)),"")</f>
        <v>ZONAL</v>
      </c>
      <c r="K27">
        <f>IFERROR(INDEX(Tabla6[Region],MATCH(B27,Tabla6[Alias],0)),"")</f>
        <v>0</v>
      </c>
      <c r="L27" s="13" t="str">
        <f>IFERROR(INDEX(Tabla6[Tipo de Obra],MATCH(B27,Tabla6[Alias],0))," ")</f>
        <v>OA</v>
      </c>
      <c r="M27" s="13" t="str">
        <f>IFERROR(INDEX(Tabla6[Tipo de Obras],MATCH(B27,Tabla6[Alias],0))," ")</f>
        <v>S/E</v>
      </c>
      <c r="N27" s="13">
        <f>IFERROR(INDEX(Tabla6[Plazo constructivo],MATCH(B27,Tabla6[Alias],0))," ")</f>
        <v>18</v>
      </c>
      <c r="O27" s="14">
        <f>IFERROR(INDEX(Tabla6[Fecha EO],MATCH(B27,Tabla6[Alias],0))," ")</f>
        <v>43617</v>
      </c>
      <c r="P27" s="95">
        <f>IFERROR(INDEX(Tabla6[AVI REF],MATCH(B27,Tabla6[Alias],0))," ")</f>
        <v>208400</v>
      </c>
      <c r="Q27" s="95">
        <f>IFERROR(INDEX(Tabla6[COMA REF],MATCH(B27,Tabla6[Alias],0))," ")</f>
        <v>33100</v>
      </c>
      <c r="R27" s="95">
        <f>IFERROR(INDEX(Tabla6[VATT REF '[AVI + COMA']],MATCH(B27,Tabla6[Alias],0))," ")</f>
        <v>241500</v>
      </c>
      <c r="S27" t="str">
        <f>IFERROR(INDEX(Tabla6[Propietario],MATCH(B27,Tabla6[Alias],0))," ")</f>
        <v>CGE S.A.</v>
      </c>
      <c r="T27" t="s">
        <v>44</v>
      </c>
      <c r="U27" t="s">
        <v>51</v>
      </c>
      <c r="V27" s="143" t="s">
        <v>176</v>
      </c>
      <c r="W27" s="13" t="s">
        <v>155</v>
      </c>
      <c r="X27" s="13" t="s">
        <v>111</v>
      </c>
      <c r="Z27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1_PROC_OA_17_G08</v>
      </c>
      <c r="AA2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7" s="25" t="s">
        <v>232</v>
      </c>
      <c r="AC27" s="5"/>
      <c r="AD27" s="5"/>
      <c r="AE27" s="123" t="s">
        <v>1283</v>
      </c>
      <c r="AF27" s="94" t="str">
        <f>IFERROR(INDEX(Tabla10[ID],MATCH(BASE_GRAL[[#This Row],[EMPRESA ADJUDICADA]],Tabla10[Alias],0)),"")</f>
        <v>PROP_13</v>
      </c>
      <c r="AG27" s="94">
        <v>43287</v>
      </c>
      <c r="AH27" s="95">
        <v>1764703.5988919665</v>
      </c>
      <c r="AI27" s="5"/>
      <c r="AJ27" s="5">
        <v>0</v>
      </c>
      <c r="AK27">
        <f>+BASE_GRAL[[#This Row],[COMA ADJUDICADO]]+BASE_GRAL[[#This Row],[AVI ADJUDICADO]]</f>
        <v>0</v>
      </c>
      <c r="AL27" s="124" t="s">
        <v>1223</v>
      </c>
      <c r="AM27" s="13" t="s">
        <v>316</v>
      </c>
      <c r="AN27" s="94">
        <v>43673</v>
      </c>
    </row>
    <row r="28" spans="1:40" x14ac:dyDescent="0.25">
      <c r="A28">
        <v>25</v>
      </c>
      <c r="B28" t="s">
        <v>1443</v>
      </c>
      <c r="C28">
        <f>IFERROR(INDEX(Tabla6[AÑO],MATCH(B28,Tabla6[Alias],0)),"")</f>
        <v>2017</v>
      </c>
      <c r="D28">
        <f>IFERROR(INDEX(Tabla6[DECRETO],MATCH(B28,Tabla6[Alias],0)),"")</f>
        <v>418</v>
      </c>
      <c r="E28" s="6">
        <f>IFERROR(INDEX(Tabla6[Fecha de Promulgación],MATCH(B28,Tabla6[Alias],0)),"")</f>
        <v>42920</v>
      </c>
      <c r="F28">
        <f>IFERROR(INDEX(Tabla6[Tabla],MATCH(B28,Tabla6[Alias],0)),"")</f>
        <v>16</v>
      </c>
      <c r="G28" s="5" t="str">
        <f>IFERROR(INDEX(Tabla6[Sistema],MATCH(B28,Tabla6[Alias],0)),"")</f>
        <v>D</v>
      </c>
      <c r="H28" s="5" t="str">
        <f>IFERROR(INDEX(Tabla6[ID_OBRA],MATCH(B28,Tabla6[Alias],0)),"")</f>
        <v>17_418_Z_OA_25</v>
      </c>
      <c r="I28" t="str">
        <f>IFERROR(INDEX(Tabla6[Nombre Obra],MATCH(B28,Tabla6[Alias],0)),"")</f>
        <v>Ampliación en S/E Pudahuel</v>
      </c>
      <c r="J28" t="str">
        <f>IFERROR(INDEX(Tabla6[Segmento],MATCH(B28,Tabla6[Alias],0)),"")</f>
        <v>ZONAL</v>
      </c>
      <c r="K28">
        <f>IFERROR(INDEX(Tabla6[Region],MATCH(B28,Tabla6[Alias],0)),"")</f>
        <v>0</v>
      </c>
      <c r="L28" s="13" t="str">
        <f>IFERROR(INDEX(Tabla6[Tipo de Obra],MATCH(B28,Tabla6[Alias],0))," ")</f>
        <v>OA</v>
      </c>
      <c r="M28" s="13" t="str">
        <f>IFERROR(INDEX(Tabla6[Tipo de Obras],MATCH(B28,Tabla6[Alias],0))," ")</f>
        <v>S/E</v>
      </c>
      <c r="N28" s="13">
        <f>IFERROR(INDEX(Tabla6[Plazo constructivo],MATCH(B28,Tabla6[Alias],0))," ")</f>
        <v>18</v>
      </c>
      <c r="O28" s="14">
        <f>IFERROR(INDEX(Tabla6[Fecha EO],MATCH(B28,Tabla6[Alias],0))," ")</f>
        <v>43617</v>
      </c>
      <c r="P28" s="95">
        <f>IFERROR(INDEX(Tabla6[AVI REF],MATCH(B28,Tabla6[Alias],0))," ")</f>
        <v>412700</v>
      </c>
      <c r="Q28" s="95">
        <f>IFERROR(INDEX(Tabla6[COMA REF],MATCH(B28,Tabla6[Alias],0))," ")</f>
        <v>65500</v>
      </c>
      <c r="R28" s="95">
        <f>IFERROR(INDEX(Tabla6[VATT REF '[AVI + COMA']],MATCH(B28,Tabla6[Alias],0))," ")</f>
        <v>478200</v>
      </c>
      <c r="S28" t="str">
        <f>IFERROR(INDEX(Tabla6[Propietario],MATCH(B28,Tabla6[Alias],0))," ")</f>
        <v>Enel Distribución S.A.</v>
      </c>
      <c r="T28" t="s">
        <v>44</v>
      </c>
      <c r="U28" t="s">
        <v>48</v>
      </c>
      <c r="V28" s="143" t="s">
        <v>176</v>
      </c>
      <c r="W28" s="13" t="s">
        <v>155</v>
      </c>
      <c r="X28" s="13" t="s">
        <v>112</v>
      </c>
      <c r="Z28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1_PROC_OA_17_G09</v>
      </c>
      <c r="AA2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8" s="25" t="s">
        <v>233</v>
      </c>
      <c r="AC28" s="5"/>
      <c r="AD28" s="5"/>
      <c r="AE28" s="123" t="s">
        <v>1283</v>
      </c>
      <c r="AF28" s="94" t="str">
        <f>IFERROR(INDEX(Tabla10[ID],MATCH(BASE_GRAL[[#This Row],[EMPRESA ADJUDICADA]],Tabla10[Alias],0)),"")</f>
        <v>PROP_13</v>
      </c>
      <c r="AG28" s="94">
        <v>43287</v>
      </c>
      <c r="AH28" s="95">
        <v>2409988.401108033</v>
      </c>
      <c r="AI28" s="5"/>
      <c r="AJ28" s="5">
        <v>0</v>
      </c>
      <c r="AK28">
        <f>+BASE_GRAL[[#This Row],[COMA ADJUDICADO]]+BASE_GRAL[[#This Row],[AVI ADJUDICADO]]</f>
        <v>0</v>
      </c>
      <c r="AL28" s="124" t="s">
        <v>1223</v>
      </c>
      <c r="AM28" s="13" t="s">
        <v>316</v>
      </c>
      <c r="AN28" s="94">
        <v>43673</v>
      </c>
    </row>
    <row r="29" spans="1:40" x14ac:dyDescent="0.25">
      <c r="A29">
        <v>26</v>
      </c>
      <c r="B29" t="s">
        <v>1444</v>
      </c>
      <c r="C29">
        <f>IFERROR(INDEX(Tabla6[AÑO],MATCH(B29,Tabla6[Alias],0)),"")</f>
        <v>2017</v>
      </c>
      <c r="D29">
        <f>IFERROR(INDEX(Tabla6[DECRETO],MATCH(B29,Tabla6[Alias],0)),"")</f>
        <v>418</v>
      </c>
      <c r="E29" s="6">
        <f>IFERROR(INDEX(Tabla6[Fecha de Promulgación],MATCH(B29,Tabla6[Alias],0)),"")</f>
        <v>42920</v>
      </c>
      <c r="F29">
        <f>IFERROR(INDEX(Tabla6[Tabla],MATCH(B29,Tabla6[Alias],0)),"")</f>
        <v>16</v>
      </c>
      <c r="G29" s="5" t="str">
        <f>IFERROR(INDEX(Tabla6[Sistema],MATCH(B29,Tabla6[Alias],0)),"")</f>
        <v>D</v>
      </c>
      <c r="H29" s="5" t="str">
        <f>IFERROR(INDEX(Tabla6[ID_OBRA],MATCH(B29,Tabla6[Alias],0)),"")</f>
        <v>17_418_Z_OA_26</v>
      </c>
      <c r="I29" t="str">
        <f>IFERROR(INDEX(Tabla6[Nombre Obra],MATCH(B29,Tabla6[Alias],0)),"")</f>
        <v>Ampliación en S/E Cerro Navia</v>
      </c>
      <c r="J29" t="str">
        <f>IFERROR(INDEX(Tabla6[Segmento],MATCH(B29,Tabla6[Alias],0)),"")</f>
        <v>ZONAL</v>
      </c>
      <c r="K29">
        <f>IFERROR(INDEX(Tabla6[Region],MATCH(B29,Tabla6[Alias],0)),"")</f>
        <v>0</v>
      </c>
      <c r="L29" s="13" t="str">
        <f>IFERROR(INDEX(Tabla6[Tipo de Obra],MATCH(B29,Tabla6[Alias],0))," ")</f>
        <v>OA</v>
      </c>
      <c r="M29" s="13" t="str">
        <f>IFERROR(INDEX(Tabla6[Tipo de Obras],MATCH(B29,Tabla6[Alias],0))," ")</f>
        <v>S/E</v>
      </c>
      <c r="N29" s="13">
        <f>IFERROR(INDEX(Tabla6[Plazo constructivo],MATCH(B29,Tabla6[Alias],0))," ")</f>
        <v>36</v>
      </c>
      <c r="O29" s="14">
        <f>IFERROR(INDEX(Tabla6[Fecha EO],MATCH(B29,Tabla6[Alias],0))," ")</f>
        <v>44166</v>
      </c>
      <c r="P29" s="95">
        <f>IFERROR(INDEX(Tabla6[AVI REF],MATCH(B29,Tabla6[Alias],0))," ")</f>
        <v>1347500</v>
      </c>
      <c r="Q29" s="95">
        <f>IFERROR(INDEX(Tabla6[COMA REF],MATCH(B29,Tabla6[Alias],0))," ")</f>
        <v>213800</v>
      </c>
      <c r="R29" s="95">
        <f>IFERROR(INDEX(Tabla6[VATT REF '[AVI + COMA']],MATCH(B29,Tabla6[Alias],0))," ")</f>
        <v>1561300</v>
      </c>
      <c r="S29" t="str">
        <f>IFERROR(INDEX(Tabla6[Propietario],MATCH(B29,Tabla6[Alias],0))," ")</f>
        <v>Enel Distribución S.A.</v>
      </c>
      <c r="T29" t="s">
        <v>44</v>
      </c>
      <c r="U29" t="s">
        <v>50</v>
      </c>
      <c r="V29" s="143" t="s">
        <v>176</v>
      </c>
      <c r="W29" s="13" t="s">
        <v>155</v>
      </c>
      <c r="X29" s="13" t="s">
        <v>112</v>
      </c>
      <c r="Z29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1_PROC_OA_17_G09</v>
      </c>
      <c r="AA2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29" s="25" t="s">
        <v>234</v>
      </c>
      <c r="AC29" s="5"/>
      <c r="AD29" s="5"/>
      <c r="AE29" s="123" t="s">
        <v>168</v>
      </c>
      <c r="AF29" s="94" t="str">
        <f>IFERROR(INDEX(Tabla10[ID],MATCH(BASE_GRAL[[#This Row],[EMPRESA ADJUDICADA]],Tabla10[Alias],0)),"")</f>
        <v>PROP_11</v>
      </c>
      <c r="AG29" s="94">
        <v>43287</v>
      </c>
      <c r="AH29" s="95">
        <v>18673834.238518201</v>
      </c>
      <c r="AI29" s="5"/>
      <c r="AJ29" s="5">
        <v>0</v>
      </c>
      <c r="AK29">
        <f>+BASE_GRAL[[#This Row],[COMA ADJUDICADO]]+BASE_GRAL[[#This Row],[AVI ADJUDICADO]]</f>
        <v>0</v>
      </c>
      <c r="AL29" s="124" t="s">
        <v>1223</v>
      </c>
      <c r="AM29" s="13" t="s">
        <v>316</v>
      </c>
      <c r="AN29" s="94">
        <v>43673</v>
      </c>
    </row>
    <row r="30" spans="1:40" x14ac:dyDescent="0.25">
      <c r="A30">
        <v>27</v>
      </c>
      <c r="B30" t="s">
        <v>1445</v>
      </c>
      <c r="C30">
        <f>IFERROR(INDEX(Tabla6[AÑO],MATCH(B30,Tabla6[Alias],0)),"")</f>
        <v>2017</v>
      </c>
      <c r="D30">
        <f>IFERROR(INDEX(Tabla6[DECRETO],MATCH(B30,Tabla6[Alias],0)),"")</f>
        <v>418</v>
      </c>
      <c r="E30" s="6">
        <f>IFERROR(INDEX(Tabla6[Fecha de Promulgación],MATCH(B30,Tabla6[Alias],0)),"")</f>
        <v>42920</v>
      </c>
      <c r="F30">
        <f>IFERROR(INDEX(Tabla6[Tabla],MATCH(B30,Tabla6[Alias],0)),"")</f>
        <v>16</v>
      </c>
      <c r="G30" s="5" t="str">
        <f>IFERROR(INDEX(Tabla6[Sistema],MATCH(B30,Tabla6[Alias],0)),"")</f>
        <v>D</v>
      </c>
      <c r="H30" s="5" t="str">
        <f>IFERROR(INDEX(Tabla6[ID_OBRA],MATCH(B30,Tabla6[Alias],0)),"")</f>
        <v>17_418_Z_OA_27</v>
      </c>
      <c r="I30" t="str">
        <f>IFERROR(INDEX(Tabla6[Nombre Obra],MATCH(B30,Tabla6[Alias],0)),"")</f>
        <v>MODIFICACIÓN DE PAÑOS DE CONEXIÓN DE LÍNEA 2x110 KV LAS VEGAS –
CERRO NAVIA EN NUEVO PATIO “GIS” 110 KV S/E CERRO NAVIA 110 KV.</v>
      </c>
      <c r="J30" t="str">
        <f>IFERROR(INDEX(Tabla6[Segmento],MATCH(B30,Tabla6[Alias],0)),"")</f>
        <v>ZONAL</v>
      </c>
      <c r="K30">
        <f>IFERROR(INDEX(Tabla6[Region],MATCH(B30,Tabla6[Alias],0)),"")</f>
        <v>0</v>
      </c>
      <c r="L30" s="13" t="str">
        <f>IFERROR(INDEX(Tabla6[Tipo de Obra],MATCH(B30,Tabla6[Alias],0))," ")</f>
        <v>OA</v>
      </c>
      <c r="M30" s="13" t="str">
        <f>IFERROR(INDEX(Tabla6[Tipo de Obras],MATCH(B30,Tabla6[Alias],0))," ")</f>
        <v>S/E</v>
      </c>
      <c r="N30" s="13">
        <f>IFERROR(INDEX(Tabla6[Plazo constructivo],MATCH(B30,Tabla6[Alias],0))," ")</f>
        <v>36</v>
      </c>
      <c r="O30" s="14">
        <f>IFERROR(INDEX(Tabla6[Fecha EO],MATCH(B30,Tabla6[Alias],0))," ")</f>
        <v>44166</v>
      </c>
      <c r="P30" s="95">
        <f>IFERROR(INDEX(Tabla6[AVI REF],MATCH(B30,Tabla6[Alias],0))," ")</f>
        <v>273900</v>
      </c>
      <c r="Q30" s="95">
        <f>IFERROR(INDEX(Tabla6[COMA REF],MATCH(B30,Tabla6[Alias],0))," ")</f>
        <v>43500</v>
      </c>
      <c r="R30" s="95">
        <f>IFERROR(INDEX(Tabla6[VATT REF '[AVI + COMA']],MATCH(B30,Tabla6[Alias],0))," ")</f>
        <v>317400</v>
      </c>
      <c r="S30" t="str">
        <f>IFERROR(INDEX(Tabla6[Propietario],MATCH(B30,Tabla6[Alias],0))," ")</f>
        <v>AES Gener S.A.</v>
      </c>
      <c r="T30" t="s">
        <v>44</v>
      </c>
      <c r="V30" s="143" t="s">
        <v>176</v>
      </c>
      <c r="W30" s="13" t="s">
        <v>155</v>
      </c>
      <c r="X30" s="13" t="s">
        <v>112</v>
      </c>
      <c r="Z30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1_PROC_OA_17_G09</v>
      </c>
      <c r="AA3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0" s="25" t="s">
        <v>235</v>
      </c>
      <c r="AC30" s="5"/>
      <c r="AD30" s="5"/>
      <c r="AE30" s="123" t="s">
        <v>168</v>
      </c>
      <c r="AF30" s="94" t="str">
        <f>IFERROR(INDEX(Tabla10[ID],MATCH(BASE_GRAL[[#This Row],[EMPRESA ADJUDICADA]],Tabla10[Alias],0)),"")</f>
        <v>PROP_11</v>
      </c>
      <c r="AG30" s="94">
        <v>43287</v>
      </c>
      <c r="AH30" s="95">
        <v>3795742.6329722703</v>
      </c>
      <c r="AI30" s="5"/>
      <c r="AJ30" s="5">
        <v>0</v>
      </c>
      <c r="AK30">
        <f>+BASE_GRAL[[#This Row],[COMA ADJUDICADO]]+BASE_GRAL[[#This Row],[AVI ADJUDICADO]]</f>
        <v>0</v>
      </c>
      <c r="AL30" s="124" t="s">
        <v>1223</v>
      </c>
      <c r="AM30" s="13" t="s">
        <v>316</v>
      </c>
      <c r="AN30" s="94">
        <v>43673</v>
      </c>
    </row>
    <row r="31" spans="1:40" x14ac:dyDescent="0.25">
      <c r="A31">
        <v>28</v>
      </c>
      <c r="B31" t="s">
        <v>1446</v>
      </c>
      <c r="C31">
        <f>IFERROR(INDEX(Tabla6[AÑO],MATCH(B31,Tabla6[Alias],0)),"")</f>
        <v>2017</v>
      </c>
      <c r="D31">
        <f>IFERROR(INDEX(Tabla6[DECRETO],MATCH(B31,Tabla6[Alias],0)),"")</f>
        <v>418</v>
      </c>
      <c r="E31" s="6">
        <f>IFERROR(INDEX(Tabla6[Fecha de Promulgación],MATCH(B31,Tabla6[Alias],0)),"")</f>
        <v>42920</v>
      </c>
      <c r="F31">
        <f>IFERROR(INDEX(Tabla6[Tabla],MATCH(B31,Tabla6[Alias],0)),"")</f>
        <v>16</v>
      </c>
      <c r="G31" s="5" t="str">
        <f>IFERROR(INDEX(Tabla6[Sistema],MATCH(B31,Tabla6[Alias],0)),"")</f>
        <v>D</v>
      </c>
      <c r="H31" s="5" t="str">
        <f>IFERROR(INDEX(Tabla6[ID_OBRA],MATCH(B31,Tabla6[Alias],0)),"")</f>
        <v>17_418_Z_OA_28</v>
      </c>
      <c r="I31" t="str">
        <f>IFERROR(INDEX(Tabla6[Nombre Obra],MATCH(B31,Tabla6[Alias],0)),"")</f>
        <v>MODIFICACIÓN DE CONEXIÓN DE PAÑOS DE TRANSFORMACIÓN “TR5” Y UN
NUEVO BANCO EN NUEVO PATIO “GIS” 110 KV S/E CERRO NAVIA 110 KV.</v>
      </c>
      <c r="J31" t="str">
        <f>IFERROR(INDEX(Tabla6[Segmento],MATCH(B31,Tabla6[Alias],0)),"")</f>
        <v>ZONAL</v>
      </c>
      <c r="K31">
        <f>IFERROR(INDEX(Tabla6[Region],MATCH(B31,Tabla6[Alias],0)),"")</f>
        <v>0</v>
      </c>
      <c r="L31" s="13" t="str">
        <f>IFERROR(INDEX(Tabla6[Tipo de Obra],MATCH(B31,Tabla6[Alias],0))," ")</f>
        <v>OA</v>
      </c>
      <c r="M31" s="13" t="str">
        <f>IFERROR(INDEX(Tabla6[Tipo de Obras],MATCH(B31,Tabla6[Alias],0))," ")</f>
        <v>S/E</v>
      </c>
      <c r="N31" s="13">
        <f>IFERROR(INDEX(Tabla6[Plazo constructivo],MATCH(B31,Tabla6[Alias],0))," ")</f>
        <v>36</v>
      </c>
      <c r="O31" s="14">
        <f>IFERROR(INDEX(Tabla6[Fecha EO],MATCH(B31,Tabla6[Alias],0))," ")</f>
        <v>44166</v>
      </c>
      <c r="P31" s="95">
        <f>IFERROR(INDEX(Tabla6[AVI REF],MATCH(B31,Tabla6[Alias],0))," ")</f>
        <v>273900</v>
      </c>
      <c r="Q31" s="95">
        <f>IFERROR(INDEX(Tabla6[COMA REF],MATCH(B31,Tabla6[Alias],0))," ")</f>
        <v>43500</v>
      </c>
      <c r="R31" s="95">
        <f>IFERROR(INDEX(Tabla6[VATT REF '[AVI + COMA']],MATCH(B31,Tabla6[Alias],0))," ")</f>
        <v>317400</v>
      </c>
      <c r="S31" t="str">
        <f>IFERROR(INDEX(Tabla6[Propietario],MATCH(B31,Tabla6[Alias],0))," ")</f>
        <v>Transelec S.A.</v>
      </c>
      <c r="T31" t="s">
        <v>44</v>
      </c>
      <c r="V31" s="143" t="s">
        <v>176</v>
      </c>
      <c r="W31" s="13" t="s">
        <v>155</v>
      </c>
      <c r="X31" s="13" t="s">
        <v>112</v>
      </c>
      <c r="Z31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1_PROC_OA_17_G09</v>
      </c>
      <c r="AA31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1" s="25" t="s">
        <v>236</v>
      </c>
      <c r="AC31" s="5"/>
      <c r="AD31" s="5"/>
      <c r="AE31" s="123" t="s">
        <v>168</v>
      </c>
      <c r="AF31" s="94" t="str">
        <f>IFERROR(INDEX(Tabla10[ID],MATCH(BASE_GRAL[[#This Row],[EMPRESA ADJUDICADA]],Tabla10[Alias],0)),"")</f>
        <v>PROP_11</v>
      </c>
      <c r="AG31" s="94">
        <v>43287</v>
      </c>
      <c r="AH31" s="95">
        <v>3795742.6329722703</v>
      </c>
      <c r="AI31" s="5"/>
      <c r="AJ31" s="5">
        <v>0</v>
      </c>
      <c r="AK31">
        <f>+BASE_GRAL[[#This Row],[COMA ADJUDICADO]]+BASE_GRAL[[#This Row],[AVI ADJUDICADO]]</f>
        <v>0</v>
      </c>
      <c r="AL31" s="124" t="s">
        <v>1223</v>
      </c>
      <c r="AM31" s="13" t="s">
        <v>316</v>
      </c>
      <c r="AN31" s="94">
        <v>43673</v>
      </c>
    </row>
    <row r="32" spans="1:40" x14ac:dyDescent="0.25">
      <c r="A32">
        <v>29</v>
      </c>
      <c r="B32" t="s">
        <v>1447</v>
      </c>
      <c r="C32">
        <f>IFERROR(INDEX(Tabla6[AÑO],MATCH(B32,Tabla6[Alias],0)),"")</f>
        <v>2017</v>
      </c>
      <c r="D32">
        <f>IFERROR(INDEX(Tabla6[DECRETO],MATCH(B32,Tabla6[Alias],0)),"")</f>
        <v>418</v>
      </c>
      <c r="E32" s="6">
        <f>IFERROR(INDEX(Tabla6[Fecha de Promulgación],MATCH(B32,Tabla6[Alias],0)),"")</f>
        <v>42920</v>
      </c>
      <c r="F32">
        <f>IFERROR(INDEX(Tabla6[Tabla],MATCH(B32,Tabla6[Alias],0)),"")</f>
        <v>17</v>
      </c>
      <c r="G32" s="5" t="str">
        <f>IFERROR(INDEX(Tabla6[Sistema],MATCH(B32,Tabla6[Alias],0)),"")</f>
        <v>E</v>
      </c>
      <c r="H32" s="5" t="str">
        <f>IFERROR(INDEX(Tabla6[ID_OBRA],MATCH(B32,Tabla6[Alias],0)),"")</f>
        <v>17_418_Z_OA_29</v>
      </c>
      <c r="I32" t="str">
        <f>IFERROR(INDEX(Tabla6[Nombre Obra],MATCH(B32,Tabla6[Alias],0)),"")</f>
        <v>Ampliación en S/E La Esperanza</v>
      </c>
      <c r="J32" t="str">
        <f>IFERROR(INDEX(Tabla6[Segmento],MATCH(B32,Tabla6[Alias],0)),"")</f>
        <v>ZONAL</v>
      </c>
      <c r="K32">
        <f>IFERROR(INDEX(Tabla6[Region],MATCH(B32,Tabla6[Alias],0)),"")</f>
        <v>0</v>
      </c>
      <c r="L32" s="13" t="str">
        <f>IFERROR(INDEX(Tabla6[Tipo de Obra],MATCH(B32,Tabla6[Alias],0))," ")</f>
        <v>OA</v>
      </c>
      <c r="M32" s="13" t="str">
        <f>IFERROR(INDEX(Tabla6[Tipo de Obras],MATCH(B32,Tabla6[Alias],0))," ")</f>
        <v>S/E</v>
      </c>
      <c r="N32" s="13">
        <f>IFERROR(INDEX(Tabla6[Plazo constructivo],MATCH(B32,Tabla6[Alias],0))," ")</f>
        <v>18</v>
      </c>
      <c r="O32" s="14">
        <f>IFERROR(INDEX(Tabla6[Fecha EO],MATCH(B32,Tabla6[Alias],0))," ")</f>
        <v>43617</v>
      </c>
      <c r="P32" s="95">
        <f>IFERROR(INDEX(Tabla6[AVI REF],MATCH(B32,Tabla6[Alias],0))," ")</f>
        <v>228400</v>
      </c>
      <c r="Q32" s="95">
        <f>IFERROR(INDEX(Tabla6[COMA REF],MATCH(B32,Tabla6[Alias],0))," ")</f>
        <v>36200</v>
      </c>
      <c r="R32" s="95">
        <f>IFERROR(INDEX(Tabla6[VATT REF '[AVI + COMA']],MATCH(B32,Tabla6[Alias],0))," ")</f>
        <v>264600</v>
      </c>
      <c r="S32" t="str">
        <f>IFERROR(INDEX(Tabla6[Propietario],MATCH(B32,Tabla6[Alias],0))," ")</f>
        <v>CGE S.A.</v>
      </c>
      <c r="T32" t="s">
        <v>44</v>
      </c>
      <c r="U32" t="s">
        <v>61</v>
      </c>
      <c r="V32" s="143" t="s">
        <v>176</v>
      </c>
      <c r="W32" s="13" t="s">
        <v>155</v>
      </c>
      <c r="X32" s="13" t="s">
        <v>113</v>
      </c>
      <c r="Z32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1_PROC_OA_17_G10</v>
      </c>
      <c r="AA3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2" s="25" t="s">
        <v>237</v>
      </c>
      <c r="AC32" s="5"/>
      <c r="AD32" s="5"/>
      <c r="AE32" s="132" t="s">
        <v>317</v>
      </c>
      <c r="AF32" s="94" t="str">
        <f>IFERROR(INDEX(Tabla10[ID],MATCH(BASE_GRAL[[#This Row],[EMPRESA ADJUDICADA]],Tabla10[Alias],0)),"")</f>
        <v/>
      </c>
      <c r="AG32" s="13" t="s">
        <v>317</v>
      </c>
      <c r="AH32" s="13" t="s">
        <v>317</v>
      </c>
      <c r="AI32" s="5"/>
      <c r="AJ32" s="5">
        <v>0</v>
      </c>
      <c r="AK32">
        <f>+BASE_GRAL[[#This Row],[COMA ADJUDICADO]]+BASE_GRAL[[#This Row],[AVI ADJUDICADO]]</f>
        <v>0</v>
      </c>
      <c r="AL32" s="125" t="s">
        <v>1230</v>
      </c>
      <c r="AM32" s="13" t="s">
        <v>317</v>
      </c>
      <c r="AN32" s="94" t="s">
        <v>317</v>
      </c>
    </row>
    <row r="33" spans="1:40" x14ac:dyDescent="0.25">
      <c r="A33">
        <v>30</v>
      </c>
      <c r="B33" t="s">
        <v>1448</v>
      </c>
      <c r="C33">
        <f>IFERROR(INDEX(Tabla6[AÑO],MATCH(B33,Tabla6[Alias],0)),"")</f>
        <v>2017</v>
      </c>
      <c r="D33">
        <f>IFERROR(INDEX(Tabla6[DECRETO],MATCH(B33,Tabla6[Alias],0)),"")</f>
        <v>418</v>
      </c>
      <c r="E33" s="6">
        <f>IFERROR(INDEX(Tabla6[Fecha de Promulgación],MATCH(B33,Tabla6[Alias],0)),"")</f>
        <v>42920</v>
      </c>
      <c r="F33">
        <f>IFERROR(INDEX(Tabla6[Tabla],MATCH(B33,Tabla6[Alias],0)),"")</f>
        <v>17</v>
      </c>
      <c r="G33" s="5" t="str">
        <f>IFERROR(INDEX(Tabla6[Sistema],MATCH(B33,Tabla6[Alias],0)),"")</f>
        <v>E</v>
      </c>
      <c r="H33" s="5" t="str">
        <f>IFERROR(INDEX(Tabla6[ID_OBRA],MATCH(B33,Tabla6[Alias],0)),"")</f>
        <v>17_418_Z_OA_30</v>
      </c>
      <c r="I33" t="str">
        <f>IFERROR(INDEX(Tabla6[Nombre Obra],MATCH(B33,Tabla6[Alias],0)),"")</f>
        <v>Ampliación en S/E Alcones</v>
      </c>
      <c r="J33" t="str">
        <f>IFERROR(INDEX(Tabla6[Segmento],MATCH(B33,Tabla6[Alias],0)),"")</f>
        <v>ZONAL</v>
      </c>
      <c r="K33">
        <f>IFERROR(INDEX(Tabla6[Region],MATCH(B33,Tabla6[Alias],0)),"")</f>
        <v>0</v>
      </c>
      <c r="L33" s="13" t="str">
        <f>IFERROR(INDEX(Tabla6[Tipo de Obra],MATCH(B33,Tabla6[Alias],0))," ")</f>
        <v>OA</v>
      </c>
      <c r="M33" s="13" t="str">
        <f>IFERROR(INDEX(Tabla6[Tipo de Obras],MATCH(B33,Tabla6[Alias],0))," ")</f>
        <v>S/E</v>
      </c>
      <c r="N33" s="13">
        <f>IFERROR(INDEX(Tabla6[Plazo constructivo],MATCH(B33,Tabla6[Alias],0))," ")</f>
        <v>18</v>
      </c>
      <c r="O33" s="14">
        <f>IFERROR(INDEX(Tabla6[Fecha EO],MATCH(B33,Tabla6[Alias],0))," ")</f>
        <v>43617</v>
      </c>
      <c r="P33" s="95">
        <f>IFERROR(INDEX(Tabla6[AVI REF],MATCH(B33,Tabla6[Alias],0))," ")</f>
        <v>195600</v>
      </c>
      <c r="Q33" s="95">
        <f>IFERROR(INDEX(Tabla6[COMA REF],MATCH(B33,Tabla6[Alias],0))," ")</f>
        <v>31000</v>
      </c>
      <c r="R33" s="95">
        <f>IFERROR(INDEX(Tabla6[VATT REF '[AVI + COMA']],MATCH(B33,Tabla6[Alias],0))," ")</f>
        <v>226600</v>
      </c>
      <c r="S33" t="str">
        <f>IFERROR(INDEX(Tabla6[Propietario],MATCH(B33,Tabla6[Alias],0))," ")</f>
        <v>CGE S.A.</v>
      </c>
      <c r="T33" t="s">
        <v>44</v>
      </c>
      <c r="U33" t="s">
        <v>62</v>
      </c>
      <c r="V33" s="143" t="s">
        <v>176</v>
      </c>
      <c r="W33" s="13" t="s">
        <v>155</v>
      </c>
      <c r="X33" s="13" t="s">
        <v>113</v>
      </c>
      <c r="Z33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1_PROC_OA_17_G10</v>
      </c>
      <c r="AA3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3" s="25" t="s">
        <v>238</v>
      </c>
      <c r="AC33" s="5"/>
      <c r="AD33" s="5"/>
      <c r="AE33" s="123" t="s">
        <v>1264</v>
      </c>
      <c r="AF33" s="94" t="str">
        <f>IFERROR(INDEX(Tabla10[ID],MATCH(BASE_GRAL[[#This Row],[EMPRESA ADJUDICADA]],Tabla10[Alias],0)),"")</f>
        <v>PROP_01</v>
      </c>
      <c r="AG33" s="94">
        <v>43287</v>
      </c>
      <c r="AH33" s="95">
        <v>5789986.1699999999</v>
      </c>
      <c r="AI33" s="5"/>
      <c r="AJ33" s="5">
        <v>0</v>
      </c>
      <c r="AK33">
        <f>+BASE_GRAL[[#This Row],[COMA ADJUDICADO]]+BASE_GRAL[[#This Row],[AVI ADJUDICADO]]</f>
        <v>0</v>
      </c>
      <c r="AL33" s="124" t="s">
        <v>1223</v>
      </c>
      <c r="AM33" s="13" t="s">
        <v>316</v>
      </c>
      <c r="AN33" s="94">
        <v>43673</v>
      </c>
    </row>
    <row r="34" spans="1:40" x14ac:dyDescent="0.25">
      <c r="A34">
        <v>31</v>
      </c>
      <c r="B34" t="s">
        <v>1449</v>
      </c>
      <c r="C34">
        <f>IFERROR(INDEX(Tabla6[AÑO],MATCH(B34,Tabla6[Alias],0)),"")</f>
        <v>2017</v>
      </c>
      <c r="D34">
        <f>IFERROR(INDEX(Tabla6[DECRETO],MATCH(B34,Tabla6[Alias],0)),"")</f>
        <v>418</v>
      </c>
      <c r="E34" s="6">
        <f>IFERROR(INDEX(Tabla6[Fecha de Promulgación],MATCH(B34,Tabla6[Alias],0)),"")</f>
        <v>42920</v>
      </c>
      <c r="F34">
        <f>IFERROR(INDEX(Tabla6[Tabla],MATCH(B34,Tabla6[Alias],0)),"")</f>
        <v>17</v>
      </c>
      <c r="G34" s="5" t="str">
        <f>IFERROR(INDEX(Tabla6[Sistema],MATCH(B34,Tabla6[Alias],0)),"")</f>
        <v>E</v>
      </c>
      <c r="H34" s="5" t="str">
        <f>IFERROR(INDEX(Tabla6[ID_OBRA],MATCH(B34,Tabla6[Alias],0)),"")</f>
        <v>17_418_Z_OA_31</v>
      </c>
      <c r="I34" t="str">
        <f>IFERROR(INDEX(Tabla6[Nombre Obra],MATCH(B34,Tabla6[Alias],0)),"")</f>
        <v>Ampliación en S/E Nancahua</v>
      </c>
      <c r="J34" t="str">
        <f>IFERROR(INDEX(Tabla6[Segmento],MATCH(B34,Tabla6[Alias],0)),"")</f>
        <v>ZONAL</v>
      </c>
      <c r="K34">
        <f>IFERROR(INDEX(Tabla6[Region],MATCH(B34,Tabla6[Alias],0)),"")</f>
        <v>0</v>
      </c>
      <c r="L34" s="13" t="str">
        <f>IFERROR(INDEX(Tabla6[Tipo de Obra],MATCH(B34,Tabla6[Alias],0))," ")</f>
        <v>OA</v>
      </c>
      <c r="M34" s="13" t="str">
        <f>IFERROR(INDEX(Tabla6[Tipo de Obras],MATCH(B34,Tabla6[Alias],0))," ")</f>
        <v>S/E</v>
      </c>
      <c r="N34" s="13">
        <f>IFERROR(INDEX(Tabla6[Plazo constructivo],MATCH(B34,Tabla6[Alias],0))," ")</f>
        <v>18</v>
      </c>
      <c r="O34" s="14">
        <f>IFERROR(INDEX(Tabla6[Fecha EO],MATCH(B34,Tabla6[Alias],0))," ")</f>
        <v>43617</v>
      </c>
      <c r="P34" s="95">
        <f>IFERROR(INDEX(Tabla6[AVI REF],MATCH(B34,Tabla6[Alias],0))," ")</f>
        <v>202700</v>
      </c>
      <c r="Q34" s="95">
        <f>IFERROR(INDEX(Tabla6[COMA REF],MATCH(B34,Tabla6[Alias],0))," ")</f>
        <v>32200.000000000004</v>
      </c>
      <c r="R34" s="95">
        <f>IFERROR(INDEX(Tabla6[VATT REF '[AVI + COMA']],MATCH(B34,Tabla6[Alias],0))," ")</f>
        <v>234900</v>
      </c>
      <c r="S34" t="str">
        <f>IFERROR(INDEX(Tabla6[Propietario],MATCH(B34,Tabla6[Alias],0))," ")</f>
        <v>CGE S.A.</v>
      </c>
      <c r="T34" t="s">
        <v>44</v>
      </c>
      <c r="U34" t="s">
        <v>65</v>
      </c>
      <c r="V34" s="143" t="s">
        <v>176</v>
      </c>
      <c r="W34" s="13" t="s">
        <v>155</v>
      </c>
      <c r="X34" s="13" t="s">
        <v>113</v>
      </c>
      <c r="Z34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1_PROC_OA_17_G10</v>
      </c>
      <c r="AA3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4" s="25" t="s">
        <v>239</v>
      </c>
      <c r="AC34" s="5"/>
      <c r="AD34" s="5"/>
      <c r="AE34" s="132" t="s">
        <v>317</v>
      </c>
      <c r="AF34" s="94" t="str">
        <f>IFERROR(INDEX(Tabla10[ID],MATCH(BASE_GRAL[[#This Row],[EMPRESA ADJUDICADA]],Tabla10[Alias],0)),"")</f>
        <v/>
      </c>
      <c r="AG34" s="13" t="s">
        <v>317</v>
      </c>
      <c r="AH34" s="13" t="s">
        <v>317</v>
      </c>
      <c r="AI34" s="5"/>
      <c r="AJ34" s="5">
        <v>0</v>
      </c>
      <c r="AK34">
        <f>+BASE_GRAL[[#This Row],[COMA ADJUDICADO]]+BASE_GRAL[[#This Row],[AVI ADJUDICADO]]</f>
        <v>0</v>
      </c>
      <c r="AL34" s="125" t="s">
        <v>1230</v>
      </c>
      <c r="AM34" s="13" t="s">
        <v>317</v>
      </c>
      <c r="AN34" s="13" t="s">
        <v>317</v>
      </c>
    </row>
    <row r="35" spans="1:40" x14ac:dyDescent="0.25">
      <c r="A35">
        <v>32</v>
      </c>
      <c r="B35" t="s">
        <v>1450</v>
      </c>
      <c r="C35">
        <f>IFERROR(INDEX(Tabla6[AÑO],MATCH(B35,Tabla6[Alias],0)),"")</f>
        <v>2017</v>
      </c>
      <c r="D35">
        <f>IFERROR(INDEX(Tabla6[DECRETO],MATCH(B35,Tabla6[Alias],0)),"")</f>
        <v>418</v>
      </c>
      <c r="E35" s="6">
        <f>IFERROR(INDEX(Tabla6[Fecha de Promulgación],MATCH(B35,Tabla6[Alias],0)),"")</f>
        <v>42920</v>
      </c>
      <c r="F35">
        <f>IFERROR(INDEX(Tabla6[Tabla],MATCH(B35,Tabla6[Alias],0)),"")</f>
        <v>17</v>
      </c>
      <c r="G35" s="5" t="str">
        <f>IFERROR(INDEX(Tabla6[Sistema],MATCH(B35,Tabla6[Alias],0)),"")</f>
        <v>E</v>
      </c>
      <c r="H35" s="5" t="str">
        <f>IFERROR(INDEX(Tabla6[ID_OBRA],MATCH(B35,Tabla6[Alias],0)),"")</f>
        <v>17_418_Z_OA_32</v>
      </c>
      <c r="I35" t="str">
        <f>IFERROR(INDEX(Tabla6[Nombre Obra],MATCH(B35,Tabla6[Alias],0)),"")</f>
        <v>Ampliación en S/E Paniahue</v>
      </c>
      <c r="J35" t="str">
        <f>IFERROR(INDEX(Tabla6[Segmento],MATCH(B35,Tabla6[Alias],0)),"")</f>
        <v>ZONAL</v>
      </c>
      <c r="K35">
        <f>IFERROR(INDEX(Tabla6[Region],MATCH(B35,Tabla6[Alias],0)),"")</f>
        <v>0</v>
      </c>
      <c r="L35" s="13" t="str">
        <f>IFERROR(INDEX(Tabla6[Tipo de Obra],MATCH(B35,Tabla6[Alias],0))," ")</f>
        <v>OA</v>
      </c>
      <c r="M35" s="13" t="str">
        <f>IFERROR(INDEX(Tabla6[Tipo de Obras],MATCH(B35,Tabla6[Alias],0))," ")</f>
        <v>S/E</v>
      </c>
      <c r="N35" s="13">
        <f>IFERROR(INDEX(Tabla6[Plazo constructivo],MATCH(B35,Tabla6[Alias],0))," ")</f>
        <v>18</v>
      </c>
      <c r="O35" s="14">
        <f>IFERROR(INDEX(Tabla6[Fecha EO],MATCH(B35,Tabla6[Alias],0))," ")</f>
        <v>43617</v>
      </c>
      <c r="P35" s="95">
        <f>IFERROR(INDEX(Tabla6[AVI REF],MATCH(B35,Tabla6[Alias],0))," ")</f>
        <v>251600</v>
      </c>
      <c r="Q35" s="95">
        <f>IFERROR(INDEX(Tabla6[COMA REF],MATCH(B35,Tabla6[Alias],0))," ")</f>
        <v>39900</v>
      </c>
      <c r="R35" s="95">
        <f>IFERROR(INDEX(Tabla6[VATT REF '[AVI + COMA']],MATCH(B35,Tabla6[Alias],0))," ")</f>
        <v>291500</v>
      </c>
      <c r="S35" t="str">
        <f>IFERROR(INDEX(Tabla6[Propietario],MATCH(B35,Tabla6[Alias],0))," ")</f>
        <v>CGE S.A.</v>
      </c>
      <c r="T35" t="s">
        <v>44</v>
      </c>
      <c r="U35" t="s">
        <v>66</v>
      </c>
      <c r="V35" s="143" t="s">
        <v>176</v>
      </c>
      <c r="W35" s="13" t="s">
        <v>155</v>
      </c>
      <c r="X35" s="13" t="s">
        <v>113</v>
      </c>
      <c r="Z35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1_PROC_OA_17_G10</v>
      </c>
      <c r="AA3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5" s="25" t="s">
        <v>240</v>
      </c>
      <c r="AC35" s="5"/>
      <c r="AD35" s="5"/>
      <c r="AE35" s="132" t="s">
        <v>317</v>
      </c>
      <c r="AF35" s="94" t="str">
        <f>IFERROR(INDEX(Tabla10[ID],MATCH(BASE_GRAL[[#This Row],[EMPRESA ADJUDICADA]],Tabla10[Alias],0)),"")</f>
        <v/>
      </c>
      <c r="AG35" s="13" t="s">
        <v>317</v>
      </c>
      <c r="AH35" s="13" t="s">
        <v>317</v>
      </c>
      <c r="AI35" s="5"/>
      <c r="AJ35" s="5">
        <v>0</v>
      </c>
      <c r="AK35">
        <f>+BASE_GRAL[[#This Row],[COMA ADJUDICADO]]+BASE_GRAL[[#This Row],[AVI ADJUDICADO]]</f>
        <v>0</v>
      </c>
      <c r="AL35" s="125" t="s">
        <v>1230</v>
      </c>
      <c r="AM35" s="13" t="s">
        <v>317</v>
      </c>
      <c r="AN35" s="13" t="s">
        <v>317</v>
      </c>
    </row>
    <row r="36" spans="1:40" x14ac:dyDescent="0.25">
      <c r="A36">
        <v>33</v>
      </c>
      <c r="B36" t="s">
        <v>1451</v>
      </c>
      <c r="C36">
        <f>IFERROR(INDEX(Tabla6[AÑO],MATCH(B36,Tabla6[Alias],0)),"")</f>
        <v>2017</v>
      </c>
      <c r="D36">
        <f>IFERROR(INDEX(Tabla6[DECRETO],MATCH(B36,Tabla6[Alias],0)),"")</f>
        <v>418</v>
      </c>
      <c r="E36" s="6">
        <f>IFERROR(INDEX(Tabla6[Fecha de Promulgación],MATCH(B36,Tabla6[Alias],0)),"")</f>
        <v>42920</v>
      </c>
      <c r="F36">
        <f>IFERROR(INDEX(Tabla6[Tabla],MATCH(B36,Tabla6[Alias],0)),"")</f>
        <v>17</v>
      </c>
      <c r="G36" s="5" t="str">
        <f>IFERROR(INDEX(Tabla6[Sistema],MATCH(B36,Tabla6[Alias],0)),"")</f>
        <v>E</v>
      </c>
      <c r="H36" s="5" t="str">
        <f>IFERROR(INDEX(Tabla6[ID_OBRA],MATCH(B36,Tabla6[Alias],0)),"")</f>
        <v>17_418_Z_OA_33</v>
      </c>
      <c r="I36" t="str">
        <f>IFERROR(INDEX(Tabla6[Nombre Obra],MATCH(B36,Tabla6[Alias],0)),"")</f>
        <v>Ampliación en S/E Alameda</v>
      </c>
      <c r="J36" t="str">
        <f>IFERROR(INDEX(Tabla6[Segmento],MATCH(B36,Tabla6[Alias],0)),"")</f>
        <v>ZONAL</v>
      </c>
      <c r="K36">
        <f>IFERROR(INDEX(Tabla6[Region],MATCH(B36,Tabla6[Alias],0)),"")</f>
        <v>0</v>
      </c>
      <c r="L36" s="13" t="str">
        <f>IFERROR(INDEX(Tabla6[Tipo de Obra],MATCH(B36,Tabla6[Alias],0))," ")</f>
        <v>OA</v>
      </c>
      <c r="M36" s="13" t="str">
        <f>IFERROR(INDEX(Tabla6[Tipo de Obras],MATCH(B36,Tabla6[Alias],0))," ")</f>
        <v>S/E</v>
      </c>
      <c r="N36" s="13">
        <f>IFERROR(INDEX(Tabla6[Plazo constructivo],MATCH(B36,Tabla6[Alias],0))," ")</f>
        <v>18</v>
      </c>
      <c r="O36" s="14">
        <f>IFERROR(INDEX(Tabla6[Fecha EO],MATCH(B36,Tabla6[Alias],0))," ")</f>
        <v>43617</v>
      </c>
      <c r="P36" s="95">
        <f>IFERROR(INDEX(Tabla6[AVI REF],MATCH(B36,Tabla6[Alias],0))," ")</f>
        <v>280600</v>
      </c>
      <c r="Q36" s="95">
        <f>IFERROR(INDEX(Tabla6[COMA REF],MATCH(B36,Tabla6[Alias],0))," ")</f>
        <v>44500</v>
      </c>
      <c r="R36" s="95">
        <f>IFERROR(INDEX(Tabla6[VATT REF '[AVI + COMA']],MATCH(B36,Tabla6[Alias],0))," ")</f>
        <v>325100</v>
      </c>
      <c r="S36" t="str">
        <f>IFERROR(INDEX(Tabla6[Propietario],MATCH(B36,Tabla6[Alias],0))," ")</f>
        <v>CGE S.A.</v>
      </c>
      <c r="T36" t="s">
        <v>44</v>
      </c>
      <c r="U36" t="s">
        <v>67</v>
      </c>
      <c r="V36" s="143" t="s">
        <v>176</v>
      </c>
      <c r="W36" s="13" t="s">
        <v>155</v>
      </c>
      <c r="X36" s="13" t="s">
        <v>113</v>
      </c>
      <c r="Z36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1_PROC_OA_17_G10</v>
      </c>
      <c r="AA3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6" s="25" t="s">
        <v>241</v>
      </c>
      <c r="AC36" s="5"/>
      <c r="AD36" s="5"/>
      <c r="AE36" s="132" t="s">
        <v>317</v>
      </c>
      <c r="AF36" s="94" t="str">
        <f>IFERROR(INDEX(Tabla10[ID],MATCH(BASE_GRAL[[#This Row],[EMPRESA ADJUDICADA]],Tabla10[Alias],0)),"")</f>
        <v/>
      </c>
      <c r="AG36" s="13" t="s">
        <v>317</v>
      </c>
      <c r="AH36" s="13" t="s">
        <v>317</v>
      </c>
      <c r="AI36" s="5"/>
      <c r="AJ36" s="5">
        <v>0</v>
      </c>
      <c r="AK36">
        <f>+BASE_GRAL[[#This Row],[COMA ADJUDICADO]]+BASE_GRAL[[#This Row],[AVI ADJUDICADO]]</f>
        <v>0</v>
      </c>
      <c r="AL36" s="125" t="s">
        <v>1230</v>
      </c>
      <c r="AM36" s="13" t="s">
        <v>317</v>
      </c>
      <c r="AN36" s="13" t="s">
        <v>317</v>
      </c>
    </row>
    <row r="37" spans="1:40" x14ac:dyDescent="0.25">
      <c r="A37">
        <v>34</v>
      </c>
      <c r="B37" t="s">
        <v>1452</v>
      </c>
      <c r="C37">
        <f>IFERROR(INDEX(Tabla6[AÑO],MATCH(B37,Tabla6[Alias],0)),"")</f>
        <v>2017</v>
      </c>
      <c r="D37">
        <f>IFERROR(INDEX(Tabla6[DECRETO],MATCH(B37,Tabla6[Alias],0)),"")</f>
        <v>418</v>
      </c>
      <c r="E37" s="6">
        <f>IFERROR(INDEX(Tabla6[Fecha de Promulgación],MATCH(B37,Tabla6[Alias],0)),"")</f>
        <v>42920</v>
      </c>
      <c r="F37">
        <f>IFERROR(INDEX(Tabla6[Tabla],MATCH(B37,Tabla6[Alias],0)),"")</f>
        <v>17</v>
      </c>
      <c r="G37" s="5" t="str">
        <f>IFERROR(INDEX(Tabla6[Sistema],MATCH(B37,Tabla6[Alias],0)),"")</f>
        <v>E</v>
      </c>
      <c r="H37" s="5" t="str">
        <f>IFERROR(INDEX(Tabla6[ID_OBRA],MATCH(B37,Tabla6[Alias],0)),"")</f>
        <v>17_418_Z_OA_34</v>
      </c>
      <c r="I37" t="str">
        <f>IFERROR(INDEX(Tabla6[Nombre Obra],MATCH(B37,Tabla6[Alias],0)),"")</f>
        <v>Ampliación en S/E Graneros</v>
      </c>
      <c r="J37" t="str">
        <f>IFERROR(INDEX(Tabla6[Segmento],MATCH(B37,Tabla6[Alias],0)),"")</f>
        <v>ZONAL</v>
      </c>
      <c r="K37">
        <f>IFERROR(INDEX(Tabla6[Region],MATCH(B37,Tabla6[Alias],0)),"")</f>
        <v>0</v>
      </c>
      <c r="L37" s="13" t="str">
        <f>IFERROR(INDEX(Tabla6[Tipo de Obra],MATCH(B37,Tabla6[Alias],0))," ")</f>
        <v>OA</v>
      </c>
      <c r="M37" s="13" t="str">
        <f>IFERROR(INDEX(Tabla6[Tipo de Obras],MATCH(B37,Tabla6[Alias],0))," ")</f>
        <v>S/E</v>
      </c>
      <c r="N37" s="13">
        <f>IFERROR(INDEX(Tabla6[Plazo constructivo],MATCH(B37,Tabla6[Alias],0))," ")</f>
        <v>18</v>
      </c>
      <c r="O37" s="14">
        <f>IFERROR(INDEX(Tabla6[Fecha EO],MATCH(B37,Tabla6[Alias],0))," ")</f>
        <v>43617</v>
      </c>
      <c r="P37" s="95">
        <f>IFERROR(INDEX(Tabla6[AVI REF],MATCH(B37,Tabla6[Alias],0))," ")</f>
        <v>260300</v>
      </c>
      <c r="Q37" s="95">
        <f>IFERROR(INDEX(Tabla6[COMA REF],MATCH(B37,Tabla6[Alias],0))," ")</f>
        <v>41300</v>
      </c>
      <c r="R37" s="95">
        <f>IFERROR(INDEX(Tabla6[VATT REF '[AVI + COMA']],MATCH(B37,Tabla6[Alias],0))," ")</f>
        <v>301600</v>
      </c>
      <c r="S37" t="str">
        <f>IFERROR(INDEX(Tabla6[Propietario],MATCH(B37,Tabla6[Alias],0))," ")</f>
        <v>CGE S.A.</v>
      </c>
      <c r="T37" t="s">
        <v>44</v>
      </c>
      <c r="U37" t="s">
        <v>68</v>
      </c>
      <c r="V37" s="143" t="s">
        <v>176</v>
      </c>
      <c r="W37" s="13" t="s">
        <v>155</v>
      </c>
      <c r="X37" s="13" t="s">
        <v>113</v>
      </c>
      <c r="Z37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1_PROC_OA_17_G10</v>
      </c>
      <c r="AA3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7" s="25" t="s">
        <v>242</v>
      </c>
      <c r="AC37" s="5"/>
      <c r="AD37" s="5"/>
      <c r="AE37" s="132" t="s">
        <v>317</v>
      </c>
      <c r="AF37" s="94" t="str">
        <f>IFERROR(INDEX(Tabla10[ID],MATCH(BASE_GRAL[[#This Row],[EMPRESA ADJUDICADA]],Tabla10[Alias],0)),"")</f>
        <v/>
      </c>
      <c r="AG37" s="13" t="s">
        <v>317</v>
      </c>
      <c r="AH37" s="13" t="s">
        <v>317</v>
      </c>
      <c r="AI37" s="5"/>
      <c r="AJ37" s="5">
        <v>0</v>
      </c>
      <c r="AK37">
        <f>+BASE_GRAL[[#This Row],[COMA ADJUDICADO]]+BASE_GRAL[[#This Row],[AVI ADJUDICADO]]</f>
        <v>0</v>
      </c>
      <c r="AL37" s="125" t="s">
        <v>1230</v>
      </c>
      <c r="AM37" s="13" t="s">
        <v>317</v>
      </c>
      <c r="AN37" s="13" t="s">
        <v>317</v>
      </c>
    </row>
    <row r="38" spans="1:40" x14ac:dyDescent="0.25">
      <c r="A38">
        <v>35</v>
      </c>
      <c r="B38" t="s">
        <v>1453</v>
      </c>
      <c r="C38">
        <f>IFERROR(INDEX(Tabla6[AÑO],MATCH(B38,Tabla6[Alias],0)),"")</f>
        <v>2017</v>
      </c>
      <c r="D38">
        <f>IFERROR(INDEX(Tabla6[DECRETO],MATCH(B38,Tabla6[Alias],0)),"")</f>
        <v>418</v>
      </c>
      <c r="E38" s="6">
        <f>IFERROR(INDEX(Tabla6[Fecha de Promulgación],MATCH(B38,Tabla6[Alias],0)),"")</f>
        <v>42920</v>
      </c>
      <c r="F38">
        <f>IFERROR(INDEX(Tabla6[Tabla],MATCH(B38,Tabla6[Alias],0)),"")</f>
        <v>17</v>
      </c>
      <c r="G38" s="5" t="str">
        <f>IFERROR(INDEX(Tabla6[Sistema],MATCH(B38,Tabla6[Alias],0)),"")</f>
        <v>E</v>
      </c>
      <c r="H38" s="5" t="str">
        <f>IFERROR(INDEX(Tabla6[ID_OBRA],MATCH(B38,Tabla6[Alias],0)),"")</f>
        <v>17_418_Z_OA_35</v>
      </c>
      <c r="I38" t="str">
        <f>IFERROR(INDEX(Tabla6[Nombre Obra],MATCH(B38,Tabla6[Alias],0)),"")</f>
        <v>Ampliación en S/E San Vicente de Tagua Tagua</v>
      </c>
      <c r="J38" t="str">
        <f>IFERROR(INDEX(Tabla6[Segmento],MATCH(B38,Tabla6[Alias],0)),"")</f>
        <v>ZONAL</v>
      </c>
      <c r="K38">
        <f>IFERROR(INDEX(Tabla6[Region],MATCH(B38,Tabla6[Alias],0)),"")</f>
        <v>0</v>
      </c>
      <c r="L38" s="13" t="str">
        <f>IFERROR(INDEX(Tabla6[Tipo de Obra],MATCH(B38,Tabla6[Alias],0))," ")</f>
        <v>OA</v>
      </c>
      <c r="M38" s="13" t="str">
        <f>IFERROR(INDEX(Tabla6[Tipo de Obras],MATCH(B38,Tabla6[Alias],0))," ")</f>
        <v>S/E</v>
      </c>
      <c r="N38" s="13">
        <f>IFERROR(INDEX(Tabla6[Plazo constructivo],MATCH(B38,Tabla6[Alias],0))," ")</f>
        <v>18</v>
      </c>
      <c r="O38" s="14">
        <f>IFERROR(INDEX(Tabla6[Fecha EO],MATCH(B38,Tabla6[Alias],0))," ")</f>
        <v>43617</v>
      </c>
      <c r="P38" s="95">
        <f>IFERROR(INDEX(Tabla6[AVI REF],MATCH(B38,Tabla6[Alias],0))," ")</f>
        <v>141400</v>
      </c>
      <c r="Q38" s="95">
        <f>IFERROR(INDEX(Tabla6[COMA REF],MATCH(B38,Tabla6[Alias],0))," ")</f>
        <v>22400</v>
      </c>
      <c r="R38" s="95">
        <f>IFERROR(INDEX(Tabla6[VATT REF '[AVI + COMA']],MATCH(B38,Tabla6[Alias],0))," ")</f>
        <v>163800</v>
      </c>
      <c r="S38" t="str">
        <f>IFERROR(INDEX(Tabla6[Propietario],MATCH(B38,Tabla6[Alias],0))," ")</f>
        <v>CGE S.A.</v>
      </c>
      <c r="T38" t="s">
        <v>44</v>
      </c>
      <c r="U38" t="s">
        <v>98</v>
      </c>
      <c r="V38" s="143" t="s">
        <v>176</v>
      </c>
      <c r="W38" s="13" t="s">
        <v>155</v>
      </c>
      <c r="X38" s="13" t="s">
        <v>113</v>
      </c>
      <c r="Z38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1_PROC_OA_17_G10</v>
      </c>
      <c r="AA3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8" s="25" t="s">
        <v>243</v>
      </c>
      <c r="AC38" s="5"/>
      <c r="AD38" s="5"/>
      <c r="AE38" s="132" t="s">
        <v>317</v>
      </c>
      <c r="AF38" s="94" t="str">
        <f>IFERROR(INDEX(Tabla10[ID],MATCH(BASE_GRAL[[#This Row],[EMPRESA ADJUDICADA]],Tabla10[Alias],0)),"")</f>
        <v/>
      </c>
      <c r="AG38" s="13" t="s">
        <v>317</v>
      </c>
      <c r="AH38" s="13" t="s">
        <v>317</v>
      </c>
      <c r="AI38" s="5"/>
      <c r="AJ38" s="5">
        <v>0</v>
      </c>
      <c r="AK38">
        <f>+BASE_GRAL[[#This Row],[COMA ADJUDICADO]]+BASE_GRAL[[#This Row],[AVI ADJUDICADO]]</f>
        <v>0</v>
      </c>
      <c r="AL38" s="125" t="s">
        <v>1230</v>
      </c>
      <c r="AM38" s="13" t="s">
        <v>317</v>
      </c>
      <c r="AN38" s="13" t="s">
        <v>317</v>
      </c>
    </row>
    <row r="39" spans="1:40" x14ac:dyDescent="0.25">
      <c r="A39">
        <v>36</v>
      </c>
      <c r="B39" t="s">
        <v>1454</v>
      </c>
      <c r="C39">
        <f>IFERROR(INDEX(Tabla6[AÑO],MATCH(B39,Tabla6[Alias],0)),"")</f>
        <v>2017</v>
      </c>
      <c r="D39">
        <f>IFERROR(INDEX(Tabla6[DECRETO],MATCH(B39,Tabla6[Alias],0)),"")</f>
        <v>418</v>
      </c>
      <c r="E39" s="6">
        <f>IFERROR(INDEX(Tabla6[Fecha de Promulgación],MATCH(B39,Tabla6[Alias],0)),"")</f>
        <v>42920</v>
      </c>
      <c r="F39">
        <f>IFERROR(INDEX(Tabla6[Tabla],MATCH(B39,Tabla6[Alias],0)),"")</f>
        <v>17</v>
      </c>
      <c r="G39" s="5" t="str">
        <f>IFERROR(INDEX(Tabla6[Sistema],MATCH(B39,Tabla6[Alias],0)),"")</f>
        <v>E</v>
      </c>
      <c r="H39" s="5" t="str">
        <f>IFERROR(INDEX(Tabla6[ID_OBRA],MATCH(B39,Tabla6[Alias],0)),"")</f>
        <v>17_418_Z_OA_36</v>
      </c>
      <c r="I39" t="str">
        <f>IFERROR(INDEX(Tabla6[Nombre Obra],MATCH(B39,Tabla6[Alias],0)),"")</f>
        <v>Ampliación en S/E Punta de cortés</v>
      </c>
      <c r="J39" t="str">
        <f>IFERROR(INDEX(Tabla6[Segmento],MATCH(B39,Tabla6[Alias],0)),"")</f>
        <v>ZONAL</v>
      </c>
      <c r="K39">
        <f>IFERROR(INDEX(Tabla6[Region],MATCH(B39,Tabla6[Alias],0)),"")</f>
        <v>0</v>
      </c>
      <c r="L39" s="13" t="str">
        <f>IFERROR(INDEX(Tabla6[Tipo de Obra],MATCH(B39,Tabla6[Alias],0))," ")</f>
        <v>OA</v>
      </c>
      <c r="M39" s="13" t="str">
        <f>IFERROR(INDEX(Tabla6[Tipo de Obras],MATCH(B39,Tabla6[Alias],0))," ")</f>
        <v>S/E</v>
      </c>
      <c r="N39" s="13">
        <f>IFERROR(INDEX(Tabla6[Plazo constructivo],MATCH(B39,Tabla6[Alias],0))," ")</f>
        <v>24</v>
      </c>
      <c r="O39" s="14">
        <f>IFERROR(INDEX(Tabla6[Fecha EO],MATCH(B39,Tabla6[Alias],0))," ")</f>
        <v>43800</v>
      </c>
      <c r="P39" s="95">
        <f>IFERROR(INDEX(Tabla6[AVI REF],MATCH(B39,Tabla6[Alias],0))," ")</f>
        <v>968900</v>
      </c>
      <c r="Q39" s="95">
        <f>IFERROR(INDEX(Tabla6[COMA REF],MATCH(B39,Tabla6[Alias],0))," ")</f>
        <v>153700</v>
      </c>
      <c r="R39" s="95">
        <f>IFERROR(INDEX(Tabla6[VATT REF '[AVI + COMA']],MATCH(B39,Tabla6[Alias],0))," ")</f>
        <v>1122600</v>
      </c>
      <c r="S39" t="str">
        <f>IFERROR(INDEX(Tabla6[Propietario],MATCH(B39,Tabla6[Alias],0))," ")</f>
        <v>CGE S.A.</v>
      </c>
      <c r="T39" t="s">
        <v>44</v>
      </c>
      <c r="U39" t="s">
        <v>81</v>
      </c>
      <c r="V39" s="143" t="s">
        <v>176</v>
      </c>
      <c r="W39" s="13" t="s">
        <v>155</v>
      </c>
      <c r="X39" s="13" t="s">
        <v>114</v>
      </c>
      <c r="Z39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1_PROC_OA_17_G11</v>
      </c>
      <c r="AA3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39" s="25" t="s">
        <v>244</v>
      </c>
      <c r="AC39" s="5"/>
      <c r="AD39" s="5"/>
      <c r="AE39" s="123" t="s">
        <v>315</v>
      </c>
      <c r="AF39" s="94" t="str">
        <f>IFERROR(INDEX(Tabla10[ID],MATCH(BASE_GRAL[[#This Row],[EMPRESA ADJUDICADA]],Tabla10[Alias],0)),"")</f>
        <v>PROP_10</v>
      </c>
      <c r="AG39" s="94">
        <v>43287</v>
      </c>
      <c r="AH39" s="95">
        <v>12522628.223543486</v>
      </c>
      <c r="AI39" s="5"/>
      <c r="AJ39" s="5">
        <v>0</v>
      </c>
      <c r="AK39">
        <f>+BASE_GRAL[[#This Row],[COMA ADJUDICADO]]+BASE_GRAL[[#This Row],[AVI ADJUDICADO]]</f>
        <v>0</v>
      </c>
      <c r="AL39" s="124" t="s">
        <v>1223</v>
      </c>
      <c r="AM39" s="13" t="s">
        <v>316</v>
      </c>
      <c r="AN39" s="94">
        <v>43673</v>
      </c>
    </row>
    <row r="40" spans="1:40" x14ac:dyDescent="0.25">
      <c r="A40">
        <v>37</v>
      </c>
      <c r="B40" t="s">
        <v>1455</v>
      </c>
      <c r="C40">
        <f>IFERROR(INDEX(Tabla6[AÑO],MATCH(B40,Tabla6[Alias],0)),"")</f>
        <v>2017</v>
      </c>
      <c r="D40">
        <f>IFERROR(INDEX(Tabla6[DECRETO],MATCH(B40,Tabla6[Alias],0)),"")</f>
        <v>418</v>
      </c>
      <c r="E40" s="6">
        <f>IFERROR(INDEX(Tabla6[Fecha de Promulgación],MATCH(B40,Tabla6[Alias],0)),"")</f>
        <v>42920</v>
      </c>
      <c r="F40">
        <f>IFERROR(INDEX(Tabla6[Tabla],MATCH(B40,Tabla6[Alias],0)),"")</f>
        <v>17</v>
      </c>
      <c r="G40" s="5" t="str">
        <f>IFERROR(INDEX(Tabla6[Sistema],MATCH(B40,Tabla6[Alias],0)),"")</f>
        <v>E</v>
      </c>
      <c r="H40" s="5" t="str">
        <f>IFERROR(INDEX(Tabla6[ID_OBRA],MATCH(B40,Tabla6[Alias],0)),"")</f>
        <v>17_418_Z_OA_37</v>
      </c>
      <c r="I40" t="str">
        <f>IFERROR(INDEX(Tabla6[Nombre Obra],MATCH(B40,Tabla6[Alias],0)),"")</f>
        <v>Seccionamiento en Línea 2x154 kV Alto Jahuel - Tinguiririca en S/E Punta de Cortés</v>
      </c>
      <c r="J40" t="str">
        <f>IFERROR(INDEX(Tabla6[Segmento],MATCH(B40,Tabla6[Alias],0)),"")</f>
        <v>ZONAL</v>
      </c>
      <c r="K40">
        <f>IFERROR(INDEX(Tabla6[Region],MATCH(B40,Tabla6[Alias],0)),"")</f>
        <v>0</v>
      </c>
      <c r="L40" s="13" t="str">
        <f>IFERROR(INDEX(Tabla6[Tipo de Obra],MATCH(B40,Tabla6[Alias],0))," ")</f>
        <v>OA</v>
      </c>
      <c r="M40" s="13" t="str">
        <f>IFERROR(INDEX(Tabla6[Tipo de Obras],MATCH(B40,Tabla6[Alias],0))," ")</f>
        <v>S/E</v>
      </c>
      <c r="N40" s="13">
        <f>IFERROR(INDEX(Tabla6[Plazo constructivo],MATCH(B40,Tabla6[Alias],0))," ")</f>
        <v>24</v>
      </c>
      <c r="O40" s="14">
        <f>IFERROR(INDEX(Tabla6[Fecha EO],MATCH(B40,Tabla6[Alias],0))," ")</f>
        <v>43800</v>
      </c>
      <c r="P40" s="95">
        <f>IFERROR(INDEX(Tabla6[AVI REF],MATCH(B40,Tabla6[Alias],0))," ")</f>
        <v>452300</v>
      </c>
      <c r="Q40" s="95">
        <f>IFERROR(INDEX(Tabla6[COMA REF],MATCH(B40,Tabla6[Alias],0))," ")</f>
        <v>71800</v>
      </c>
      <c r="R40" s="95">
        <f>IFERROR(INDEX(Tabla6[VATT REF '[AVI + COMA']],MATCH(B40,Tabla6[Alias],0))," ")</f>
        <v>524100</v>
      </c>
      <c r="S40" t="str">
        <f>IFERROR(INDEX(Tabla6[Propietario],MATCH(B40,Tabla6[Alias],0))," ")</f>
        <v>Transelec S.A.</v>
      </c>
      <c r="V40" s="143" t="s">
        <v>176</v>
      </c>
      <c r="W40" s="13" t="s">
        <v>155</v>
      </c>
      <c r="X40" s="13" t="s">
        <v>114</v>
      </c>
      <c r="Z40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1_PROC_OA_17_G11</v>
      </c>
      <c r="AA4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40" s="25" t="s">
        <v>245</v>
      </c>
      <c r="AC40" s="5"/>
      <c r="AD40" s="5"/>
      <c r="AE40" s="123" t="s">
        <v>315</v>
      </c>
      <c r="AF40" s="94" t="str">
        <f>IFERROR(INDEX(Tabla10[ID],MATCH(BASE_GRAL[[#This Row],[EMPRESA ADJUDICADA]],Tabla10[Alias],0)),"")</f>
        <v>PROP_10</v>
      </c>
      <c r="AG40" s="94">
        <v>43287</v>
      </c>
      <c r="AH40" s="95">
        <v>5845788.7764565162</v>
      </c>
      <c r="AI40" s="5"/>
      <c r="AJ40" s="5">
        <v>0</v>
      </c>
      <c r="AK40">
        <f>+BASE_GRAL[[#This Row],[COMA ADJUDICADO]]+BASE_GRAL[[#This Row],[AVI ADJUDICADO]]</f>
        <v>0</v>
      </c>
      <c r="AL40" s="124" t="s">
        <v>1223</v>
      </c>
      <c r="AM40" s="13" t="s">
        <v>316</v>
      </c>
      <c r="AN40" s="94">
        <v>43673</v>
      </c>
    </row>
    <row r="41" spans="1:40" x14ac:dyDescent="0.25">
      <c r="A41">
        <v>38</v>
      </c>
      <c r="B41" t="s">
        <v>1456</v>
      </c>
      <c r="C41">
        <f>IFERROR(INDEX(Tabla6[AÑO],MATCH(B41,Tabla6[Alias],0)),"")</f>
        <v>2017</v>
      </c>
      <c r="D41">
        <f>IFERROR(INDEX(Tabla6[DECRETO],MATCH(B41,Tabla6[Alias],0)),"")</f>
        <v>418</v>
      </c>
      <c r="E41" s="6">
        <f>IFERROR(INDEX(Tabla6[Fecha de Promulgación],MATCH(B41,Tabla6[Alias],0)),"")</f>
        <v>42920</v>
      </c>
      <c r="F41">
        <f>IFERROR(INDEX(Tabla6[Tabla],MATCH(B41,Tabla6[Alias],0)),"")</f>
        <v>17</v>
      </c>
      <c r="G41" s="5" t="str">
        <f>IFERROR(INDEX(Tabla6[Sistema],MATCH(B41,Tabla6[Alias],0)),"")</f>
        <v>E</v>
      </c>
      <c r="H41" s="5" t="str">
        <f>IFERROR(INDEX(Tabla6[ID_OBRA],MATCH(B41,Tabla6[Alias],0)),"")</f>
        <v>17_418_Z_OA_38</v>
      </c>
      <c r="I41" t="str">
        <f>IFERROR(INDEX(Tabla6[Nombre Obra],MATCH(B41,Tabla6[Alias],0)),"")</f>
        <v>Ampliación en S/E La Palma</v>
      </c>
      <c r="J41" t="str">
        <f>IFERROR(INDEX(Tabla6[Segmento],MATCH(B41,Tabla6[Alias],0)),"")</f>
        <v>ZONAL</v>
      </c>
      <c r="K41">
        <f>IFERROR(INDEX(Tabla6[Region],MATCH(B41,Tabla6[Alias],0)),"")</f>
        <v>0</v>
      </c>
      <c r="L41" s="13" t="str">
        <f>IFERROR(INDEX(Tabla6[Tipo de Obra],MATCH(B41,Tabla6[Alias],0))," ")</f>
        <v>OA</v>
      </c>
      <c r="M41" s="13" t="str">
        <f>IFERROR(INDEX(Tabla6[Tipo de Obras],MATCH(B41,Tabla6[Alias],0))," ")</f>
        <v>S/E</v>
      </c>
      <c r="N41" s="13">
        <f>IFERROR(INDEX(Tabla6[Plazo constructivo],MATCH(B41,Tabla6[Alias],0))," ")</f>
        <v>24</v>
      </c>
      <c r="O41" s="14">
        <f>IFERROR(INDEX(Tabla6[Fecha EO],MATCH(B41,Tabla6[Alias],0))," ")</f>
        <v>43800</v>
      </c>
      <c r="P41" s="95">
        <f>IFERROR(INDEX(Tabla6[AVI REF],MATCH(B41,Tabla6[Alias],0))," ")</f>
        <v>262700</v>
      </c>
      <c r="Q41" s="95">
        <f>IFERROR(INDEX(Tabla6[COMA REF],MATCH(B41,Tabla6[Alias],0))," ")</f>
        <v>41700</v>
      </c>
      <c r="R41" s="95">
        <f>IFERROR(INDEX(Tabla6[VATT REF '[AVI + COMA']],MATCH(B41,Tabla6[Alias],0))," ")</f>
        <v>304400</v>
      </c>
      <c r="S41" t="str">
        <f>IFERROR(INDEX(Tabla6[Propietario],MATCH(B41,Tabla6[Alias],0))," ")</f>
        <v>CGE S.A.</v>
      </c>
      <c r="T41" t="s">
        <v>44</v>
      </c>
      <c r="U41" t="s">
        <v>72</v>
      </c>
      <c r="V41" s="143" t="s">
        <v>176</v>
      </c>
      <c r="W41" s="13" t="s">
        <v>155</v>
      </c>
      <c r="X41" s="13" t="s">
        <v>115</v>
      </c>
      <c r="Z41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1_PROC_OA_17_G12</v>
      </c>
      <c r="AA41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41" s="25" t="s">
        <v>246</v>
      </c>
      <c r="AC41" s="5"/>
      <c r="AD41" s="5"/>
      <c r="AE41" s="123" t="s">
        <v>172</v>
      </c>
      <c r="AF41" s="94" t="str">
        <f>IFERROR(INDEX(Tabla10[ID],MATCH(BASE_GRAL[[#This Row],[EMPRESA ADJUDICADA]],Tabla10[Alias],0)),"")</f>
        <v>PROP_15</v>
      </c>
      <c r="AG41" s="94">
        <v>43287</v>
      </c>
      <c r="AH41" s="95">
        <v>2550807.6391318431</v>
      </c>
      <c r="AI41" s="5"/>
      <c r="AJ41" s="5">
        <v>0</v>
      </c>
      <c r="AK41">
        <f>+BASE_GRAL[[#This Row],[COMA ADJUDICADO]]+BASE_GRAL[[#This Row],[AVI ADJUDICADO]]</f>
        <v>0</v>
      </c>
      <c r="AL41" s="124" t="s">
        <v>1223</v>
      </c>
      <c r="AM41" s="13" t="s">
        <v>316</v>
      </c>
      <c r="AN41" s="94">
        <v>43673</v>
      </c>
    </row>
    <row r="42" spans="1:40" x14ac:dyDescent="0.25">
      <c r="A42">
        <v>39</v>
      </c>
      <c r="B42" t="s">
        <v>1457</v>
      </c>
      <c r="C42">
        <f>IFERROR(INDEX(Tabla6[AÑO],MATCH(B42,Tabla6[Alias],0)),"")</f>
        <v>2017</v>
      </c>
      <c r="D42">
        <f>IFERROR(INDEX(Tabla6[DECRETO],MATCH(B42,Tabla6[Alias],0)),"")</f>
        <v>418</v>
      </c>
      <c r="E42" s="6">
        <f>IFERROR(INDEX(Tabla6[Fecha de Promulgación],MATCH(B42,Tabla6[Alias],0)),"")</f>
        <v>42920</v>
      </c>
      <c r="F42">
        <f>IFERROR(INDEX(Tabla6[Tabla],MATCH(B42,Tabla6[Alias],0)),"")</f>
        <v>17</v>
      </c>
      <c r="G42" s="5" t="str">
        <f>IFERROR(INDEX(Tabla6[Sistema],MATCH(B42,Tabla6[Alias],0)),"")</f>
        <v>E</v>
      </c>
      <c r="H42" s="5" t="str">
        <f>IFERROR(INDEX(Tabla6[ID_OBRA],MATCH(B42,Tabla6[Alias],0)),"")</f>
        <v>17_418_Z_OA_39</v>
      </c>
      <c r="I42" t="str">
        <f>IFERROR(INDEX(Tabla6[Nombre Obra],MATCH(B42,Tabla6[Alias],0)),"")</f>
        <v>Ampliación en S/E San Javier</v>
      </c>
      <c r="J42" t="str">
        <f>IFERROR(INDEX(Tabla6[Segmento],MATCH(B42,Tabla6[Alias],0)),"")</f>
        <v>ZONAL</v>
      </c>
      <c r="K42">
        <f>IFERROR(INDEX(Tabla6[Region],MATCH(B42,Tabla6[Alias],0)),"")</f>
        <v>0</v>
      </c>
      <c r="L42" s="13" t="str">
        <f>IFERROR(INDEX(Tabla6[Tipo de Obra],MATCH(B42,Tabla6[Alias],0))," ")</f>
        <v>OA</v>
      </c>
      <c r="M42" s="13" t="str">
        <f>IFERROR(INDEX(Tabla6[Tipo de Obras],MATCH(B42,Tabla6[Alias],0))," ")</f>
        <v>S/E</v>
      </c>
      <c r="N42" s="13">
        <f>IFERROR(INDEX(Tabla6[Plazo constructivo],MATCH(B42,Tabla6[Alias],0))," ")</f>
        <v>18</v>
      </c>
      <c r="O42" s="14">
        <f>IFERROR(INDEX(Tabla6[Fecha EO],MATCH(B42,Tabla6[Alias],0))," ")</f>
        <v>43617</v>
      </c>
      <c r="P42" s="95">
        <f>IFERROR(INDEX(Tabla6[AVI REF],MATCH(B42,Tabla6[Alias],0))," ")</f>
        <v>205200</v>
      </c>
      <c r="Q42" s="95">
        <f>IFERROR(INDEX(Tabla6[COMA REF],MATCH(B42,Tabla6[Alias],0))," ")</f>
        <v>32600</v>
      </c>
      <c r="R42" s="95">
        <f>IFERROR(INDEX(Tabla6[VATT REF '[AVI + COMA']],MATCH(B42,Tabla6[Alias],0))," ")</f>
        <v>237800</v>
      </c>
      <c r="S42" t="str">
        <f>IFERROR(INDEX(Tabla6[Propietario],MATCH(B42,Tabla6[Alias],0))," ")</f>
        <v>CGE S.A.</v>
      </c>
      <c r="T42" t="s">
        <v>44</v>
      </c>
      <c r="U42" t="s">
        <v>74</v>
      </c>
      <c r="V42" s="143" t="s">
        <v>176</v>
      </c>
      <c r="W42" s="13" t="s">
        <v>155</v>
      </c>
      <c r="X42" s="13" t="s">
        <v>115</v>
      </c>
      <c r="Z42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1_PROC_OA_17_G12</v>
      </c>
      <c r="AA4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42" s="25" t="s">
        <v>247</v>
      </c>
      <c r="AC42" s="5"/>
      <c r="AD42" s="5"/>
      <c r="AE42" s="123" t="s">
        <v>172</v>
      </c>
      <c r="AF42" s="94" t="str">
        <f>IFERROR(INDEX(Tabla10[ID],MATCH(BASE_GRAL[[#This Row],[EMPRESA ADJUDICADA]],Tabla10[Alias],0)),"")</f>
        <v>PROP_15</v>
      </c>
      <c r="AG42" s="94">
        <v>43287</v>
      </c>
      <c r="AH42" s="95">
        <v>1992484.6880466472</v>
      </c>
      <c r="AI42" s="5"/>
      <c r="AJ42" s="5">
        <v>0</v>
      </c>
      <c r="AK42">
        <f>+BASE_GRAL[[#This Row],[COMA ADJUDICADO]]+BASE_GRAL[[#This Row],[AVI ADJUDICADO]]</f>
        <v>0</v>
      </c>
      <c r="AL42" s="124" t="s">
        <v>1223</v>
      </c>
      <c r="AM42" s="13" t="s">
        <v>316</v>
      </c>
      <c r="AN42" s="94">
        <v>43673</v>
      </c>
    </row>
    <row r="43" spans="1:40" x14ac:dyDescent="0.25">
      <c r="A43">
        <v>40</v>
      </c>
      <c r="B43" t="s">
        <v>1458</v>
      </c>
      <c r="C43">
        <f>IFERROR(INDEX(Tabla6[AÑO],MATCH(B43,Tabla6[Alias],0)),"")</f>
        <v>2017</v>
      </c>
      <c r="D43">
        <f>IFERROR(INDEX(Tabla6[DECRETO],MATCH(B43,Tabla6[Alias],0)),"")</f>
        <v>418</v>
      </c>
      <c r="E43" s="6">
        <f>IFERROR(INDEX(Tabla6[Fecha de Promulgación],MATCH(B43,Tabla6[Alias],0)),"")</f>
        <v>42920</v>
      </c>
      <c r="F43">
        <f>IFERROR(INDEX(Tabla6[Tabla],MATCH(B43,Tabla6[Alias],0)),"")</f>
        <v>17</v>
      </c>
      <c r="G43" s="5" t="str">
        <f>IFERROR(INDEX(Tabla6[Sistema],MATCH(B43,Tabla6[Alias],0)),"")</f>
        <v>E</v>
      </c>
      <c r="H43" s="5" t="str">
        <f>IFERROR(INDEX(Tabla6[ID_OBRA],MATCH(B43,Tabla6[Alias],0)),"")</f>
        <v>17_418_Z_OA_40</v>
      </c>
      <c r="I43" t="str">
        <f>IFERROR(INDEX(Tabla6[Nombre Obra],MATCH(B43,Tabla6[Alias],0)),"")</f>
        <v>Ampliación en S/E Constitución</v>
      </c>
      <c r="J43" t="str">
        <f>IFERROR(INDEX(Tabla6[Segmento],MATCH(B43,Tabla6[Alias],0)),"")</f>
        <v>ZONAL</v>
      </c>
      <c r="K43">
        <f>IFERROR(INDEX(Tabla6[Region],MATCH(B43,Tabla6[Alias],0)),"")</f>
        <v>0</v>
      </c>
      <c r="L43" s="13" t="str">
        <f>IFERROR(INDEX(Tabla6[Tipo de Obra],MATCH(B43,Tabla6[Alias],0))," ")</f>
        <v>OA</v>
      </c>
      <c r="M43" s="13" t="str">
        <f>IFERROR(INDEX(Tabla6[Tipo de Obras],MATCH(B43,Tabla6[Alias],0))," ")</f>
        <v>S/E</v>
      </c>
      <c r="N43" s="13">
        <f>IFERROR(INDEX(Tabla6[Plazo constructivo],MATCH(B43,Tabla6[Alias],0))," ")</f>
        <v>18</v>
      </c>
      <c r="O43" s="14">
        <f>IFERROR(INDEX(Tabla6[Fecha EO],MATCH(B43,Tabla6[Alias],0))," ")</f>
        <v>43617</v>
      </c>
      <c r="P43" s="95">
        <f>IFERROR(INDEX(Tabla6[AVI REF],MATCH(B43,Tabla6[Alias],0))," ")</f>
        <v>264900</v>
      </c>
      <c r="Q43" s="95">
        <f>IFERROR(INDEX(Tabla6[COMA REF],MATCH(B43,Tabla6[Alias],0))," ")</f>
        <v>42000</v>
      </c>
      <c r="R43" s="95">
        <f>IFERROR(INDEX(Tabla6[VATT REF '[AVI + COMA']],MATCH(B43,Tabla6[Alias],0))," ")</f>
        <v>306900</v>
      </c>
      <c r="S43" t="str">
        <f>IFERROR(INDEX(Tabla6[Propietario],MATCH(B43,Tabla6[Alias],0))," ")</f>
        <v>CGE S.A.</v>
      </c>
      <c r="T43" t="s">
        <v>44</v>
      </c>
      <c r="U43" t="s">
        <v>69</v>
      </c>
      <c r="V43" s="143" t="s">
        <v>176</v>
      </c>
      <c r="W43" s="13" t="s">
        <v>155</v>
      </c>
      <c r="X43" s="13" t="s">
        <v>115</v>
      </c>
      <c r="Z43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1_PROC_OA_17_G12</v>
      </c>
      <c r="AA4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43" s="25" t="s">
        <v>248</v>
      </c>
      <c r="AC43" s="5"/>
      <c r="AD43" s="5"/>
      <c r="AE43" s="123" t="s">
        <v>172</v>
      </c>
      <c r="AF43" s="94" t="str">
        <f>IFERROR(INDEX(Tabla10[ID],MATCH(BASE_GRAL[[#This Row],[EMPRESA ADJUDICADA]],Tabla10[Alias],0)),"")</f>
        <v>PROP_15</v>
      </c>
      <c r="AG43" s="94">
        <v>43287</v>
      </c>
      <c r="AH43" s="95">
        <v>2572169.5607385808</v>
      </c>
      <c r="AI43" s="5"/>
      <c r="AJ43" s="5">
        <v>0</v>
      </c>
      <c r="AK43">
        <f>+BASE_GRAL[[#This Row],[COMA ADJUDICADO]]+BASE_GRAL[[#This Row],[AVI ADJUDICADO]]</f>
        <v>0</v>
      </c>
      <c r="AL43" s="124" t="s">
        <v>1223</v>
      </c>
      <c r="AM43" s="13" t="s">
        <v>316</v>
      </c>
      <c r="AN43" s="94">
        <v>43673</v>
      </c>
    </row>
    <row r="44" spans="1:40" x14ac:dyDescent="0.25">
      <c r="A44">
        <v>41</v>
      </c>
      <c r="B44" t="s">
        <v>1459</v>
      </c>
      <c r="C44">
        <f>IFERROR(INDEX(Tabla6[AÑO],MATCH(B44,Tabla6[Alias],0)),"")</f>
        <v>2017</v>
      </c>
      <c r="D44">
        <f>IFERROR(INDEX(Tabla6[DECRETO],MATCH(B44,Tabla6[Alias],0)),"")</f>
        <v>418</v>
      </c>
      <c r="E44" s="6">
        <f>IFERROR(INDEX(Tabla6[Fecha de Promulgación],MATCH(B44,Tabla6[Alias],0)),"")</f>
        <v>42920</v>
      </c>
      <c r="F44">
        <f>IFERROR(INDEX(Tabla6[Tabla],MATCH(B44,Tabla6[Alias],0)),"")</f>
        <v>17</v>
      </c>
      <c r="G44" s="5" t="str">
        <f>IFERROR(INDEX(Tabla6[Sistema],MATCH(B44,Tabla6[Alias],0)),"")</f>
        <v>E</v>
      </c>
      <c r="H44" s="5" t="str">
        <f>IFERROR(INDEX(Tabla6[ID_OBRA],MATCH(B44,Tabla6[Alias],0)),"")</f>
        <v>17_418_Z_OA_41</v>
      </c>
      <c r="I44" t="str">
        <f>IFERROR(INDEX(Tabla6[Nombre Obra],MATCH(B44,Tabla6[Alias],0)),"")</f>
        <v>Ampliación en S/E Cauquenes</v>
      </c>
      <c r="J44" t="str">
        <f>IFERROR(INDEX(Tabla6[Segmento],MATCH(B44,Tabla6[Alias],0)),"")</f>
        <v>ZONAL</v>
      </c>
      <c r="K44">
        <f>IFERROR(INDEX(Tabla6[Region],MATCH(B44,Tabla6[Alias],0)),"")</f>
        <v>0</v>
      </c>
      <c r="L44" s="13" t="str">
        <f>IFERROR(INDEX(Tabla6[Tipo de Obra],MATCH(B44,Tabla6[Alias],0))," ")</f>
        <v>OA</v>
      </c>
      <c r="M44" s="13" t="str">
        <f>IFERROR(INDEX(Tabla6[Tipo de Obras],MATCH(B44,Tabla6[Alias],0))," ")</f>
        <v>S/E</v>
      </c>
      <c r="N44" s="13">
        <f>IFERROR(INDEX(Tabla6[Plazo constructivo],MATCH(B44,Tabla6[Alias],0))," ")</f>
        <v>18</v>
      </c>
      <c r="O44" s="14">
        <f>IFERROR(INDEX(Tabla6[Fecha EO],MATCH(B44,Tabla6[Alias],0))," ")</f>
        <v>43617</v>
      </c>
      <c r="P44" s="95">
        <f>IFERROR(INDEX(Tabla6[AVI REF],MATCH(B44,Tabla6[Alias],0))," ")</f>
        <v>149700</v>
      </c>
      <c r="Q44" s="95">
        <f>IFERROR(INDEX(Tabla6[COMA REF],MATCH(B44,Tabla6[Alias],0))," ")</f>
        <v>23700</v>
      </c>
      <c r="R44" s="95">
        <f>IFERROR(INDEX(Tabla6[VATT REF '[AVI + COMA']],MATCH(B44,Tabla6[Alias],0))," ")</f>
        <v>173400</v>
      </c>
      <c r="S44" t="str">
        <f>IFERROR(INDEX(Tabla6[Propietario],MATCH(B44,Tabla6[Alias],0))," ")</f>
        <v>CGE S.A.</v>
      </c>
      <c r="T44" t="s">
        <v>44</v>
      </c>
      <c r="U44" t="s">
        <v>70</v>
      </c>
      <c r="V44" s="143" t="s">
        <v>176</v>
      </c>
      <c r="W44" s="13" t="s">
        <v>155</v>
      </c>
      <c r="X44" s="13" t="s">
        <v>115</v>
      </c>
      <c r="Z44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1_PROC_OA_17_G12</v>
      </c>
      <c r="AA4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44" s="25" t="s">
        <v>249</v>
      </c>
      <c r="AC44" s="5"/>
      <c r="AD44" s="5"/>
      <c r="AE44" s="123" t="s">
        <v>172</v>
      </c>
      <c r="AF44" s="94" t="str">
        <f>IFERROR(INDEX(Tabla10[ID],MATCH(BASE_GRAL[[#This Row],[EMPRESA ADJUDICADA]],Tabla10[Alias],0)),"")</f>
        <v>PROP_15</v>
      </c>
      <c r="AG44" s="94">
        <v>43287</v>
      </c>
      <c r="AH44" s="95">
        <v>1453581.6656948493</v>
      </c>
      <c r="AI44" s="5"/>
      <c r="AJ44" s="5">
        <v>0</v>
      </c>
      <c r="AK44">
        <f>+BASE_GRAL[[#This Row],[COMA ADJUDICADO]]+BASE_GRAL[[#This Row],[AVI ADJUDICADO]]</f>
        <v>0</v>
      </c>
      <c r="AL44" s="124" t="s">
        <v>1223</v>
      </c>
      <c r="AM44" s="13" t="s">
        <v>316</v>
      </c>
      <c r="AN44" s="94">
        <v>43673</v>
      </c>
    </row>
    <row r="45" spans="1:40" x14ac:dyDescent="0.25">
      <c r="A45">
        <v>42</v>
      </c>
      <c r="B45" t="s">
        <v>1460</v>
      </c>
      <c r="C45">
        <f>IFERROR(INDEX(Tabla6[AÑO],MATCH(B45,Tabla6[Alias],0)),"")</f>
        <v>2017</v>
      </c>
      <c r="D45">
        <f>IFERROR(INDEX(Tabla6[DECRETO],MATCH(B45,Tabla6[Alias],0)),"")</f>
        <v>418</v>
      </c>
      <c r="E45" s="6">
        <f>IFERROR(INDEX(Tabla6[Fecha de Promulgación],MATCH(B45,Tabla6[Alias],0)),"")</f>
        <v>42920</v>
      </c>
      <c r="F45">
        <f>IFERROR(INDEX(Tabla6[Tabla],MATCH(B45,Tabla6[Alias],0)),"")</f>
        <v>17</v>
      </c>
      <c r="G45" s="5" t="str">
        <f>IFERROR(INDEX(Tabla6[Sistema],MATCH(B45,Tabla6[Alias],0)),"")</f>
        <v>E</v>
      </c>
      <c r="H45" s="5" t="str">
        <f>IFERROR(INDEX(Tabla6[ID_OBRA],MATCH(B45,Tabla6[Alias],0)),"")</f>
        <v>17_418_Z_OA_42</v>
      </c>
      <c r="I45" t="str">
        <f>IFERROR(INDEX(Tabla6[Nombre Obra],MATCH(B45,Tabla6[Alias],0)),"")</f>
        <v>Ampliación en S/E Maule</v>
      </c>
      <c r="J45" t="str">
        <f>IFERROR(INDEX(Tabla6[Segmento],MATCH(B45,Tabla6[Alias],0)),"")</f>
        <v>ZONAL</v>
      </c>
      <c r="K45">
        <f>IFERROR(INDEX(Tabla6[Region],MATCH(B45,Tabla6[Alias],0)),"")</f>
        <v>0</v>
      </c>
      <c r="L45" s="13" t="str">
        <f>IFERROR(INDEX(Tabla6[Tipo de Obra],MATCH(B45,Tabla6[Alias],0))," ")</f>
        <v>OA</v>
      </c>
      <c r="M45" s="13" t="str">
        <f>IFERROR(INDEX(Tabla6[Tipo de Obras],MATCH(B45,Tabla6[Alias],0))," ")</f>
        <v>S/E</v>
      </c>
      <c r="N45" s="13">
        <f>IFERROR(INDEX(Tabla6[Plazo constructivo],MATCH(B45,Tabla6[Alias],0))," ")</f>
        <v>18</v>
      </c>
      <c r="O45" s="14">
        <f>IFERROR(INDEX(Tabla6[Fecha EO],MATCH(B45,Tabla6[Alias],0))," ")</f>
        <v>43617</v>
      </c>
      <c r="P45" s="95">
        <f>IFERROR(INDEX(Tabla6[AVI REF],MATCH(B45,Tabla6[Alias],0))," ")</f>
        <v>71600</v>
      </c>
      <c r="Q45" s="95">
        <f>IFERROR(INDEX(Tabla6[COMA REF],MATCH(B45,Tabla6[Alias],0))," ")</f>
        <v>11400</v>
      </c>
      <c r="R45" s="95">
        <f>IFERROR(INDEX(Tabla6[VATT REF '[AVI + COMA']],MATCH(B45,Tabla6[Alias],0))," ")</f>
        <v>83000</v>
      </c>
      <c r="S45" t="str">
        <f>IFERROR(INDEX(Tabla6[Propietario],MATCH(B45,Tabla6[Alias],0))," ")</f>
        <v>CGE S.A.</v>
      </c>
      <c r="T45" t="s">
        <v>44</v>
      </c>
      <c r="U45" t="s">
        <v>73</v>
      </c>
      <c r="V45" s="143" t="s">
        <v>176</v>
      </c>
      <c r="W45" s="13" t="s">
        <v>155</v>
      </c>
      <c r="X45" s="13" t="s">
        <v>115</v>
      </c>
      <c r="Y45" t="s">
        <v>116</v>
      </c>
      <c r="Z45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1_PROC_OA_17_G12</v>
      </c>
      <c r="AA4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1_PROC_OA_17_G12_SG01</v>
      </c>
      <c r="AB45" s="25" t="s">
        <v>250</v>
      </c>
      <c r="AC45" s="5"/>
      <c r="AD45" s="5"/>
      <c r="AE45" s="123" t="s">
        <v>172</v>
      </c>
      <c r="AF45" s="94" t="str">
        <f>IFERROR(INDEX(Tabla10[ID],MATCH(BASE_GRAL[[#This Row],[EMPRESA ADJUDICADA]],Tabla10[Alias],0)),"")</f>
        <v>PROP_15</v>
      </c>
      <c r="AG45" s="94">
        <v>43287</v>
      </c>
      <c r="AH45" s="95">
        <v>695233.44865565258</v>
      </c>
      <c r="AI45" s="5"/>
      <c r="AJ45" s="5">
        <v>0</v>
      </c>
      <c r="AK45">
        <f>+BASE_GRAL[[#This Row],[COMA ADJUDICADO]]+BASE_GRAL[[#This Row],[AVI ADJUDICADO]]</f>
        <v>0</v>
      </c>
      <c r="AL45" s="124" t="s">
        <v>1223</v>
      </c>
      <c r="AM45" s="13" t="s">
        <v>316</v>
      </c>
      <c r="AN45" s="94">
        <v>43673</v>
      </c>
    </row>
    <row r="46" spans="1:40" x14ac:dyDescent="0.25">
      <c r="A46">
        <v>43</v>
      </c>
      <c r="B46" t="s">
        <v>1461</v>
      </c>
      <c r="C46">
        <f>IFERROR(INDEX(Tabla6[AÑO],MATCH(B46,Tabla6[Alias],0)),"")</f>
        <v>2017</v>
      </c>
      <c r="D46">
        <f>IFERROR(INDEX(Tabla6[DECRETO],MATCH(B46,Tabla6[Alias],0)),"")</f>
        <v>418</v>
      </c>
      <c r="E46" s="6">
        <f>IFERROR(INDEX(Tabla6[Fecha de Promulgación],MATCH(B46,Tabla6[Alias],0)),"")</f>
        <v>42920</v>
      </c>
      <c r="F46">
        <f>IFERROR(INDEX(Tabla6[Tabla],MATCH(B46,Tabla6[Alias],0)),"")</f>
        <v>17</v>
      </c>
      <c r="G46" s="5" t="str">
        <f>IFERROR(INDEX(Tabla6[Sistema],MATCH(B46,Tabla6[Alias],0)),"")</f>
        <v>E</v>
      </c>
      <c r="H46" s="5" t="str">
        <f>IFERROR(INDEX(Tabla6[ID_OBRA],MATCH(B46,Tabla6[Alias],0)),"")</f>
        <v>17_418_Z_OA_43</v>
      </c>
      <c r="I46" t="str">
        <f>IFERROR(INDEX(Tabla6[Nombre Obra],MATCH(B46,Tabla6[Alias],0)),"")</f>
        <v>Aumento de capacidad de transmisión en línea 2x66 kV Maule - Talca</v>
      </c>
      <c r="J46" t="str">
        <f>IFERROR(INDEX(Tabla6[Segmento],MATCH(B46,Tabla6[Alias],0)),"")</f>
        <v>ZONAL</v>
      </c>
      <c r="K46">
        <f>IFERROR(INDEX(Tabla6[Region],MATCH(B46,Tabla6[Alias],0)),"")</f>
        <v>0</v>
      </c>
      <c r="L46" s="13" t="str">
        <f>IFERROR(INDEX(Tabla6[Tipo de Obra],MATCH(B46,Tabla6[Alias],0))," ")</f>
        <v>OA</v>
      </c>
      <c r="M46" s="13" t="str">
        <f>IFERROR(INDEX(Tabla6[Tipo de Obras],MATCH(B46,Tabla6[Alias],0))," ")</f>
        <v>S/E</v>
      </c>
      <c r="N46" s="13">
        <f>IFERROR(INDEX(Tabla6[Plazo constructivo],MATCH(B46,Tabla6[Alias],0))," ")</f>
        <v>24</v>
      </c>
      <c r="O46" s="14">
        <f>IFERROR(INDEX(Tabla6[Fecha EO],MATCH(B46,Tabla6[Alias],0))," ")</f>
        <v>43800</v>
      </c>
      <c r="P46" s="95">
        <f>IFERROR(INDEX(Tabla6[AVI REF],MATCH(B46,Tabla6[Alias],0))," ")</f>
        <v>208700</v>
      </c>
      <c r="Q46" s="95">
        <f>IFERROR(INDEX(Tabla6[COMA REF],MATCH(B46,Tabla6[Alias],0))," ")</f>
        <v>44500</v>
      </c>
      <c r="R46" s="95">
        <f>IFERROR(INDEX(Tabla6[VATT REF '[AVI + COMA']],MATCH(B46,Tabla6[Alias],0))," ")</f>
        <v>253200</v>
      </c>
      <c r="S46" t="str">
        <f>IFERROR(INDEX(Tabla6[Propietario],MATCH(B46,Tabla6[Alias],0))," ")</f>
        <v>CGE S.A.</v>
      </c>
      <c r="T46" t="s">
        <v>63</v>
      </c>
      <c r="U46" t="s">
        <v>99</v>
      </c>
      <c r="V46" s="143" t="s">
        <v>176</v>
      </c>
      <c r="W46" s="13" t="s">
        <v>155</v>
      </c>
      <c r="X46" s="13" t="s">
        <v>115</v>
      </c>
      <c r="Y46" t="s">
        <v>116</v>
      </c>
      <c r="Z46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1_PROC_OA_17_G12</v>
      </c>
      <c r="AA4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1_PROC_OA_17_G12_SG01</v>
      </c>
      <c r="AB46" s="25" t="s">
        <v>251</v>
      </c>
      <c r="AC46" s="5"/>
      <c r="AD46" s="5"/>
      <c r="AE46" s="123" t="s">
        <v>172</v>
      </c>
      <c r="AF46" s="94" t="str">
        <f>IFERROR(INDEX(Tabla10[ID],MATCH(BASE_GRAL[[#This Row],[EMPRESA ADJUDICADA]],Tabla10[Alias],0)),"")</f>
        <v>PROP_15</v>
      </c>
      <c r="AG46" s="94">
        <v>43287</v>
      </c>
      <c r="AH46" s="95">
        <v>2725586.997732426</v>
      </c>
      <c r="AI46" s="5"/>
      <c r="AJ46" s="5">
        <v>0</v>
      </c>
      <c r="AK46">
        <f>+BASE_GRAL[[#This Row],[COMA ADJUDICADO]]+BASE_GRAL[[#This Row],[AVI ADJUDICADO]]</f>
        <v>0</v>
      </c>
      <c r="AL46" s="124" t="s">
        <v>1223</v>
      </c>
      <c r="AM46" s="13" t="s">
        <v>316</v>
      </c>
      <c r="AN46" s="94">
        <v>43673</v>
      </c>
    </row>
    <row r="47" spans="1:40" x14ac:dyDescent="0.25">
      <c r="A47">
        <v>44</v>
      </c>
      <c r="B47" t="s">
        <v>1462</v>
      </c>
      <c r="C47">
        <f>IFERROR(INDEX(Tabla6[AÑO],MATCH(B47,Tabla6[Alias],0)),"")</f>
        <v>2017</v>
      </c>
      <c r="D47">
        <f>IFERROR(INDEX(Tabla6[DECRETO],MATCH(B47,Tabla6[Alias],0)),"")</f>
        <v>418</v>
      </c>
      <c r="E47" s="6">
        <f>IFERROR(INDEX(Tabla6[Fecha de Promulgación],MATCH(B47,Tabla6[Alias],0)),"")</f>
        <v>42920</v>
      </c>
      <c r="F47">
        <f>IFERROR(INDEX(Tabla6[Tabla],MATCH(B47,Tabla6[Alias],0)),"")</f>
        <v>17</v>
      </c>
      <c r="G47" s="5" t="str">
        <f>IFERROR(INDEX(Tabla6[Sistema],MATCH(B47,Tabla6[Alias],0)),"")</f>
        <v>E</v>
      </c>
      <c r="H47" s="5" t="str">
        <f>IFERROR(INDEX(Tabla6[ID_OBRA],MATCH(B47,Tabla6[Alias],0)),"")</f>
        <v>17_418_Z_OA_44</v>
      </c>
      <c r="I47" t="str">
        <f>IFERROR(INDEX(Tabla6[Nombre Obra],MATCH(B47,Tabla6[Alias],0)),"")</f>
        <v>Ampliación en S/E Itahue</v>
      </c>
      <c r="J47" t="str">
        <f>IFERROR(INDEX(Tabla6[Segmento],MATCH(B47,Tabla6[Alias],0)),"")</f>
        <v>ZONAL</v>
      </c>
      <c r="K47">
        <f>IFERROR(INDEX(Tabla6[Region],MATCH(B47,Tabla6[Alias],0)),"")</f>
        <v>0</v>
      </c>
      <c r="L47" s="13" t="str">
        <f>IFERROR(INDEX(Tabla6[Tipo de Obra],MATCH(B47,Tabla6[Alias],0))," ")</f>
        <v>OA</v>
      </c>
      <c r="M47" s="13" t="str">
        <f>IFERROR(INDEX(Tabla6[Tipo de Obras],MATCH(B47,Tabla6[Alias],0))," ")</f>
        <v>S/E</v>
      </c>
      <c r="N47" s="13">
        <f>IFERROR(INDEX(Tabla6[Plazo constructivo],MATCH(B47,Tabla6[Alias],0))," ")</f>
        <v>48</v>
      </c>
      <c r="O47" s="14">
        <f>IFERROR(INDEX(Tabla6[Fecha EO],MATCH(B47,Tabla6[Alias],0))," ")</f>
        <v>44531</v>
      </c>
      <c r="P47" s="95">
        <f>IFERROR(INDEX(Tabla6[AVI REF],MATCH(B47,Tabla6[Alias],0))," ")</f>
        <v>305900</v>
      </c>
      <c r="Q47" s="95">
        <f>IFERROR(INDEX(Tabla6[COMA REF],MATCH(B47,Tabla6[Alias],0))," ")</f>
        <v>48500</v>
      </c>
      <c r="R47" s="95">
        <f>IFERROR(INDEX(Tabla6[VATT REF '[AVI + COMA']],MATCH(B47,Tabla6[Alias],0))," ")</f>
        <v>354400</v>
      </c>
      <c r="S47" t="str">
        <f>IFERROR(INDEX(Tabla6[Propietario],MATCH(B47,Tabla6[Alias],0))," ")</f>
        <v>Transelec S.A.</v>
      </c>
      <c r="T47" t="s">
        <v>44</v>
      </c>
      <c r="U47" t="s">
        <v>84</v>
      </c>
      <c r="V47" s="143" t="s">
        <v>176</v>
      </c>
      <c r="W47" s="13" t="s">
        <v>155</v>
      </c>
      <c r="X47" s="13" t="s">
        <v>117</v>
      </c>
      <c r="Z47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1_PROC_OA_17_G13</v>
      </c>
      <c r="AA4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47" s="25" t="s">
        <v>252</v>
      </c>
      <c r="AC47" s="5"/>
      <c r="AD47" s="5"/>
      <c r="AE47" s="123" t="s">
        <v>1283</v>
      </c>
      <c r="AF47" s="94" t="str">
        <f>IFERROR(INDEX(Tabla10[ID],MATCH(BASE_GRAL[[#This Row],[EMPRESA ADJUDICADA]],Tabla10[Alias],0)),"")</f>
        <v>PROP_13</v>
      </c>
      <c r="AG47" s="94">
        <v>43287</v>
      </c>
      <c r="AH47" s="95">
        <v>4625546.846461596</v>
      </c>
      <c r="AI47" s="5"/>
      <c r="AJ47" s="5">
        <v>0</v>
      </c>
      <c r="AK47">
        <f>+BASE_GRAL[[#This Row],[COMA ADJUDICADO]]+BASE_GRAL[[#This Row],[AVI ADJUDICADO]]</f>
        <v>0</v>
      </c>
      <c r="AL47" s="124" t="s">
        <v>1223</v>
      </c>
      <c r="AM47" s="13" t="s">
        <v>316</v>
      </c>
      <c r="AN47" s="94">
        <v>43673</v>
      </c>
    </row>
    <row r="48" spans="1:40" x14ac:dyDescent="0.25">
      <c r="A48">
        <v>45</v>
      </c>
      <c r="B48" t="s">
        <v>1463</v>
      </c>
      <c r="C48">
        <f>IFERROR(INDEX(Tabla6[AÑO],MATCH(B48,Tabla6[Alias],0)),"")</f>
        <v>2017</v>
      </c>
      <c r="D48">
        <f>IFERROR(INDEX(Tabla6[DECRETO],MATCH(B48,Tabla6[Alias],0)),"")</f>
        <v>418</v>
      </c>
      <c r="E48" s="6">
        <f>IFERROR(INDEX(Tabla6[Fecha de Promulgación],MATCH(B48,Tabla6[Alias],0)),"")</f>
        <v>42920</v>
      </c>
      <c r="F48">
        <f>IFERROR(INDEX(Tabla6[Tabla],MATCH(B48,Tabla6[Alias],0)),"")</f>
        <v>17</v>
      </c>
      <c r="G48" s="5" t="str">
        <f>IFERROR(INDEX(Tabla6[Sistema],MATCH(B48,Tabla6[Alias],0)),"")</f>
        <v>E</v>
      </c>
      <c r="H48" s="5" t="str">
        <f>IFERROR(INDEX(Tabla6[ID_OBRA],MATCH(B48,Tabla6[Alias],0)),"")</f>
        <v>17_418_Z_OA_45</v>
      </c>
      <c r="I48" t="str">
        <f>IFERROR(INDEX(Tabla6[Nombre Obra],MATCH(B48,Tabla6[Alias],0)),"")</f>
        <v>Seccionamiento en S/E Tap Linares Norte</v>
      </c>
      <c r="J48" t="str">
        <f>IFERROR(INDEX(Tabla6[Segmento],MATCH(B48,Tabla6[Alias],0)),"")</f>
        <v>ZONAL</v>
      </c>
      <c r="K48">
        <f>IFERROR(INDEX(Tabla6[Region],MATCH(B48,Tabla6[Alias],0)),"")</f>
        <v>0</v>
      </c>
      <c r="L48" s="13" t="str">
        <f>IFERROR(INDEX(Tabla6[Tipo de Obra],MATCH(B48,Tabla6[Alias],0))," ")</f>
        <v>OA</v>
      </c>
      <c r="M48" s="13" t="str">
        <f>IFERROR(INDEX(Tabla6[Tipo de Obras],MATCH(B48,Tabla6[Alias],0))," ")</f>
        <v>S/E</v>
      </c>
      <c r="N48" s="13">
        <f>IFERROR(INDEX(Tabla6[Plazo constructivo],MATCH(B48,Tabla6[Alias],0))," ")</f>
        <v>18</v>
      </c>
      <c r="O48" s="14">
        <f>IFERROR(INDEX(Tabla6[Fecha EO],MATCH(B48,Tabla6[Alias],0))," ")</f>
        <v>43617</v>
      </c>
      <c r="P48" s="95">
        <f>IFERROR(INDEX(Tabla6[AVI REF],MATCH(B48,Tabla6[Alias],0))," ")</f>
        <v>183500</v>
      </c>
      <c r="Q48" s="95">
        <f>IFERROR(INDEX(Tabla6[COMA REF],MATCH(B48,Tabla6[Alias],0))," ")</f>
        <v>29100</v>
      </c>
      <c r="R48" s="95">
        <f>IFERROR(INDEX(Tabla6[VATT REF '[AVI + COMA']],MATCH(B48,Tabla6[Alias],0))," ")</f>
        <v>212600</v>
      </c>
      <c r="S48" t="str">
        <f>IFERROR(INDEX(Tabla6[Propietario],MATCH(B48,Tabla6[Alias],0))," ")</f>
        <v>CGE S.A.</v>
      </c>
      <c r="T48" t="s">
        <v>54</v>
      </c>
      <c r="U48" t="s">
        <v>87</v>
      </c>
      <c r="V48" s="143" t="s">
        <v>176</v>
      </c>
      <c r="W48" s="13" t="s">
        <v>155</v>
      </c>
      <c r="X48" s="13" t="s">
        <v>118</v>
      </c>
      <c r="Y48" t="s">
        <v>119</v>
      </c>
      <c r="Z48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1_PROC_OA_17_G14</v>
      </c>
      <c r="AA4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1_PROC_OA_17_G14_SG02</v>
      </c>
      <c r="AB48" s="25" t="s">
        <v>253</v>
      </c>
      <c r="AC48" s="5"/>
      <c r="AD48" s="5"/>
      <c r="AE48" s="123" t="s">
        <v>175</v>
      </c>
      <c r="AF48" s="94" t="str">
        <f>IFERROR(INDEX(Tabla10[ID],MATCH(BASE_GRAL[[#This Row],[EMPRESA ADJUDICADA]],Tabla10[Alias],0)),"")</f>
        <v>PROP_18</v>
      </c>
      <c r="AG48" s="94">
        <v>43287</v>
      </c>
      <c r="AH48" s="95">
        <v>3167987.2786432654</v>
      </c>
      <c r="AI48" s="5"/>
      <c r="AJ48" s="5">
        <v>0</v>
      </c>
      <c r="AK48">
        <f>+BASE_GRAL[[#This Row],[COMA ADJUDICADO]]+BASE_GRAL[[#This Row],[AVI ADJUDICADO]]</f>
        <v>0</v>
      </c>
      <c r="AL48" s="124" t="s">
        <v>1223</v>
      </c>
      <c r="AM48" s="13" t="s">
        <v>316</v>
      </c>
      <c r="AN48" s="94">
        <v>43673</v>
      </c>
    </row>
    <row r="49" spans="1:40" x14ac:dyDescent="0.25">
      <c r="A49">
        <v>46</v>
      </c>
      <c r="B49" t="s">
        <v>1464</v>
      </c>
      <c r="C49">
        <f>IFERROR(INDEX(Tabla6[AÑO],MATCH(B49,Tabla6[Alias],0)),"")</f>
        <v>2017</v>
      </c>
      <c r="D49">
        <f>IFERROR(INDEX(Tabla6[DECRETO],MATCH(B49,Tabla6[Alias],0)),"")</f>
        <v>418</v>
      </c>
      <c r="E49" s="6">
        <f>IFERROR(INDEX(Tabla6[Fecha de Promulgación],MATCH(B49,Tabla6[Alias],0)),"")</f>
        <v>42920</v>
      </c>
      <c r="F49">
        <f>IFERROR(INDEX(Tabla6[Tabla],MATCH(B49,Tabla6[Alias],0)),"")</f>
        <v>17</v>
      </c>
      <c r="G49" s="5" t="str">
        <f>IFERROR(INDEX(Tabla6[Sistema],MATCH(B49,Tabla6[Alias],0)),"")</f>
        <v>E</v>
      </c>
      <c r="H49" s="5" t="str">
        <f>IFERROR(INDEX(Tabla6[ID_OBRA],MATCH(B49,Tabla6[Alias],0)),"")</f>
        <v>17_418_Z_OA_46</v>
      </c>
      <c r="I49" t="str">
        <f>IFERROR(INDEX(Tabla6[Nombre Obra],MATCH(B49,Tabla6[Alias],0)),"")</f>
        <v>Ampliación en S/E Linares Norte</v>
      </c>
      <c r="J49" t="str">
        <f>IFERROR(INDEX(Tabla6[Segmento],MATCH(B49,Tabla6[Alias],0)),"")</f>
        <v>ZONAL</v>
      </c>
      <c r="K49">
        <f>IFERROR(INDEX(Tabla6[Region],MATCH(B49,Tabla6[Alias],0)),"")</f>
        <v>0</v>
      </c>
      <c r="L49" s="13" t="str">
        <f>IFERROR(INDEX(Tabla6[Tipo de Obra],MATCH(B49,Tabla6[Alias],0))," ")</f>
        <v>OA</v>
      </c>
      <c r="M49" s="13" t="str">
        <f>IFERROR(INDEX(Tabla6[Tipo de Obras],MATCH(B49,Tabla6[Alias],0))," ")</f>
        <v>S/E</v>
      </c>
      <c r="N49" s="13">
        <f>IFERROR(INDEX(Tabla6[Plazo constructivo],MATCH(B49,Tabla6[Alias],0))," ")</f>
        <v>18</v>
      </c>
      <c r="O49" s="14">
        <f>IFERROR(INDEX(Tabla6[Fecha EO],MATCH(B49,Tabla6[Alias],0))," ")</f>
        <v>43617</v>
      </c>
      <c r="P49" s="95">
        <f>IFERROR(INDEX(Tabla6[AVI REF],MATCH(B49,Tabla6[Alias],0))," ")</f>
        <v>176000</v>
      </c>
      <c r="Q49" s="95">
        <f>IFERROR(INDEX(Tabla6[COMA REF],MATCH(B49,Tabla6[Alias],0))," ")</f>
        <v>27900</v>
      </c>
      <c r="R49" s="95">
        <f>IFERROR(INDEX(Tabla6[VATT REF '[AVI + COMA']],MATCH(B49,Tabla6[Alias],0))," ")</f>
        <v>203900</v>
      </c>
      <c r="S49" t="str">
        <f>IFERROR(INDEX(Tabla6[Propietario],MATCH(B49,Tabla6[Alias],0))," ")</f>
        <v>Luz Linares</v>
      </c>
      <c r="T49" t="s">
        <v>44</v>
      </c>
      <c r="U49" t="s">
        <v>90</v>
      </c>
      <c r="V49" s="143" t="s">
        <v>176</v>
      </c>
      <c r="W49" s="13" t="s">
        <v>155</v>
      </c>
      <c r="X49" s="13" t="s">
        <v>118</v>
      </c>
      <c r="Y49" t="s">
        <v>119</v>
      </c>
      <c r="Z49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1_PROC_OA_17_G14</v>
      </c>
      <c r="AA4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1_PROC_OA_17_G14_SG02</v>
      </c>
      <c r="AB49" s="25" t="s">
        <v>254</v>
      </c>
      <c r="AC49" s="5"/>
      <c r="AD49" s="5"/>
      <c r="AE49" s="123" t="s">
        <v>175</v>
      </c>
      <c r="AF49" s="94" t="str">
        <f>IFERROR(INDEX(Tabla10[ID],MATCH(BASE_GRAL[[#This Row],[EMPRESA ADJUDICADA]],Tabla10[Alias],0)),"")</f>
        <v>PROP_18</v>
      </c>
      <c r="AG49" s="94">
        <v>43287</v>
      </c>
      <c r="AH49" s="95">
        <v>3038505.5097613879</v>
      </c>
      <c r="AI49" s="5"/>
      <c r="AJ49" s="5">
        <v>0</v>
      </c>
      <c r="AK49">
        <f>+BASE_GRAL[[#This Row],[COMA ADJUDICADO]]+BASE_GRAL[[#This Row],[AVI ADJUDICADO]]</f>
        <v>0</v>
      </c>
      <c r="AL49" s="124" t="s">
        <v>1223</v>
      </c>
      <c r="AM49" s="13" t="s">
        <v>316</v>
      </c>
      <c r="AN49" s="94">
        <v>43673</v>
      </c>
    </row>
    <row r="50" spans="1:40" x14ac:dyDescent="0.25">
      <c r="A50">
        <v>47</v>
      </c>
      <c r="B50" t="s">
        <v>1465</v>
      </c>
      <c r="C50">
        <f>IFERROR(INDEX(Tabla6[AÑO],MATCH(B50,Tabla6[Alias],0)),"")</f>
        <v>2017</v>
      </c>
      <c r="D50">
        <f>IFERROR(INDEX(Tabla6[DECRETO],MATCH(B50,Tabla6[Alias],0)),"")</f>
        <v>418</v>
      </c>
      <c r="E50" s="6">
        <f>IFERROR(INDEX(Tabla6[Fecha de Promulgación],MATCH(B50,Tabla6[Alias],0)),"")</f>
        <v>42920</v>
      </c>
      <c r="F50">
        <f>IFERROR(INDEX(Tabla6[Tabla],MATCH(B50,Tabla6[Alias],0)),"")</f>
        <v>17</v>
      </c>
      <c r="G50" s="5" t="str">
        <f>IFERROR(INDEX(Tabla6[Sistema],MATCH(B50,Tabla6[Alias],0)),"")</f>
        <v>E</v>
      </c>
      <c r="H50" s="5" t="str">
        <f>IFERROR(INDEX(Tabla6[ID_OBRA],MATCH(B50,Tabla6[Alias],0)),"")</f>
        <v>17_418_Z_OA_47</v>
      </c>
      <c r="I50" t="str">
        <f>IFERROR(INDEX(Tabla6[Nombre Obra],MATCH(B50,Tabla6[Alias],0)),"")</f>
        <v>Seccionamiento en S/E Panimávida</v>
      </c>
      <c r="J50" t="str">
        <f>IFERROR(INDEX(Tabla6[Segmento],MATCH(B50,Tabla6[Alias],0)),"")</f>
        <v>ZONAL</v>
      </c>
      <c r="K50">
        <f>IFERROR(INDEX(Tabla6[Region],MATCH(B50,Tabla6[Alias],0)),"")</f>
        <v>0</v>
      </c>
      <c r="L50" s="13" t="str">
        <f>IFERROR(INDEX(Tabla6[Tipo de Obra],MATCH(B50,Tabla6[Alias],0))," ")</f>
        <v>OA</v>
      </c>
      <c r="M50" s="13" t="str">
        <f>IFERROR(INDEX(Tabla6[Tipo de Obras],MATCH(B50,Tabla6[Alias],0))," ")</f>
        <v>S/E</v>
      </c>
      <c r="N50" s="13">
        <f>IFERROR(INDEX(Tabla6[Plazo constructivo],MATCH(B50,Tabla6[Alias],0))," ")</f>
        <v>18</v>
      </c>
      <c r="O50" s="14">
        <f>IFERROR(INDEX(Tabla6[Fecha EO],MATCH(B50,Tabla6[Alias],0))," ")</f>
        <v>43617</v>
      </c>
      <c r="P50" s="95">
        <f>IFERROR(INDEX(Tabla6[AVI REF],MATCH(B50,Tabla6[Alias],0))," ")</f>
        <v>60700</v>
      </c>
      <c r="Q50" s="95">
        <f>IFERROR(INDEX(Tabla6[COMA REF],MATCH(B50,Tabla6[Alias],0))," ")</f>
        <v>9600</v>
      </c>
      <c r="R50" s="95">
        <f>IFERROR(INDEX(Tabla6[VATT REF '[AVI + COMA']],MATCH(B50,Tabla6[Alias],0))," ")</f>
        <v>70300</v>
      </c>
      <c r="S50" t="str">
        <f>IFERROR(INDEX(Tabla6[Propietario],MATCH(B50,Tabla6[Alias],0))," ")</f>
        <v>Transelec S.A.</v>
      </c>
      <c r="T50" t="s">
        <v>54</v>
      </c>
      <c r="U50" t="s">
        <v>92</v>
      </c>
      <c r="V50" s="143" t="s">
        <v>176</v>
      </c>
      <c r="W50" s="13" t="s">
        <v>155</v>
      </c>
      <c r="X50" s="13" t="s">
        <v>118</v>
      </c>
      <c r="Y50" t="s">
        <v>120</v>
      </c>
      <c r="Z50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1_PROC_OA_17_G14</v>
      </c>
      <c r="AA5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1_PROC_OA_17_G14_SG03</v>
      </c>
      <c r="AB50" s="25" t="s">
        <v>255</v>
      </c>
      <c r="AC50" s="5"/>
      <c r="AD50" s="5"/>
      <c r="AE50" s="123" t="s">
        <v>175</v>
      </c>
      <c r="AF50" s="94" t="str">
        <f>IFERROR(INDEX(Tabla10[ID],MATCH(BASE_GRAL[[#This Row],[EMPRESA ADJUDICADA]],Tabla10[Alias],0)),"")</f>
        <v>PROP_18</v>
      </c>
      <c r="AG50" s="94">
        <v>43287</v>
      </c>
      <c r="AH50" s="95">
        <v>1047939.1161506606</v>
      </c>
      <c r="AI50" s="5"/>
      <c r="AJ50" s="5">
        <v>0</v>
      </c>
      <c r="AK50">
        <f>+BASE_GRAL[[#This Row],[COMA ADJUDICADO]]+BASE_GRAL[[#This Row],[AVI ADJUDICADO]]</f>
        <v>0</v>
      </c>
      <c r="AL50" s="124" t="s">
        <v>1223</v>
      </c>
      <c r="AM50" s="13" t="s">
        <v>316</v>
      </c>
      <c r="AN50" s="94">
        <v>43673</v>
      </c>
    </row>
    <row r="51" spans="1:40" x14ac:dyDescent="0.25">
      <c r="A51">
        <v>48</v>
      </c>
      <c r="B51" t="s">
        <v>1466</v>
      </c>
      <c r="C51">
        <f>IFERROR(INDEX(Tabla6[AÑO],MATCH(B51,Tabla6[Alias],0)),"")</f>
        <v>2017</v>
      </c>
      <c r="D51">
        <f>IFERROR(INDEX(Tabla6[DECRETO],MATCH(B51,Tabla6[Alias],0)),"")</f>
        <v>418</v>
      </c>
      <c r="E51" s="6">
        <f>IFERROR(INDEX(Tabla6[Fecha de Promulgación],MATCH(B51,Tabla6[Alias],0)),"")</f>
        <v>42920</v>
      </c>
      <c r="F51">
        <f>IFERROR(INDEX(Tabla6[Tabla],MATCH(B51,Tabla6[Alias],0)),"")</f>
        <v>17</v>
      </c>
      <c r="G51" s="5" t="str">
        <f>IFERROR(INDEX(Tabla6[Sistema],MATCH(B51,Tabla6[Alias],0)),"")</f>
        <v>E</v>
      </c>
      <c r="H51" s="5" t="str">
        <f>IFERROR(INDEX(Tabla6[ID_OBRA],MATCH(B51,Tabla6[Alias],0)),"")</f>
        <v>17_418_Z_OA_48</v>
      </c>
      <c r="I51" t="str">
        <f>IFERROR(INDEX(Tabla6[Nombre Obra],MATCH(B51,Tabla6[Alias],0)),"")</f>
        <v>Ampliación en S/E Panimávida</v>
      </c>
      <c r="J51" t="str">
        <f>IFERROR(INDEX(Tabla6[Segmento],MATCH(B51,Tabla6[Alias],0)),"")</f>
        <v>ZONAL</v>
      </c>
      <c r="K51">
        <f>IFERROR(INDEX(Tabla6[Region],MATCH(B51,Tabla6[Alias],0)),"")</f>
        <v>0</v>
      </c>
      <c r="L51" s="13" t="str">
        <f>IFERROR(INDEX(Tabla6[Tipo de Obra],MATCH(B51,Tabla6[Alias],0))," ")</f>
        <v>OA</v>
      </c>
      <c r="M51" s="13" t="str">
        <f>IFERROR(INDEX(Tabla6[Tipo de Obras],MATCH(B51,Tabla6[Alias],0))," ")</f>
        <v>S/E</v>
      </c>
      <c r="N51" s="13">
        <f>IFERROR(INDEX(Tabla6[Plazo constructivo],MATCH(B51,Tabla6[Alias],0))," ")</f>
        <v>18</v>
      </c>
      <c r="O51" s="14">
        <f>IFERROR(INDEX(Tabla6[Fecha EO],MATCH(B51,Tabla6[Alias],0))," ")</f>
        <v>43617</v>
      </c>
      <c r="P51" s="95">
        <f>IFERROR(INDEX(Tabla6[AVI REF],MATCH(B51,Tabla6[Alias],0))," ")</f>
        <v>86900</v>
      </c>
      <c r="Q51" s="95">
        <f>IFERROR(INDEX(Tabla6[COMA REF],MATCH(B51,Tabla6[Alias],0))," ")</f>
        <v>13800</v>
      </c>
      <c r="R51" s="95">
        <f>IFERROR(INDEX(Tabla6[VATT REF '[AVI + COMA']],MATCH(B51,Tabla6[Alias],0))," ")</f>
        <v>100700</v>
      </c>
      <c r="S51" t="str">
        <f>IFERROR(INDEX(Tabla6[Propietario],MATCH(B51,Tabla6[Alias],0))," ")</f>
        <v>Luz Linares</v>
      </c>
      <c r="T51" t="s">
        <v>44</v>
      </c>
      <c r="U51" t="s">
        <v>92</v>
      </c>
      <c r="V51" s="143" t="s">
        <v>176</v>
      </c>
      <c r="W51" s="13" t="s">
        <v>155</v>
      </c>
      <c r="X51" s="13" t="s">
        <v>118</v>
      </c>
      <c r="Y51" t="s">
        <v>120</v>
      </c>
      <c r="Z51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1_PROC_OA_17_G14</v>
      </c>
      <c r="AA51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1_PROC_OA_17_G14_SG03</v>
      </c>
      <c r="AB51" s="25" t="s">
        <v>256</v>
      </c>
      <c r="AC51" s="5"/>
      <c r="AD51" s="5"/>
      <c r="AE51" s="123" t="s">
        <v>175</v>
      </c>
      <c r="AF51" s="94" t="str">
        <f>IFERROR(INDEX(Tabla10[ID],MATCH(BASE_GRAL[[#This Row],[EMPRESA ADJUDICADA]],Tabla10[Alias],0)),"")</f>
        <v>PROP_18</v>
      </c>
      <c r="AG51" s="94">
        <v>43287</v>
      </c>
      <c r="AH51" s="95">
        <v>1500262.0954446855</v>
      </c>
      <c r="AI51" s="5"/>
      <c r="AJ51" s="5">
        <v>0</v>
      </c>
      <c r="AK51">
        <f>+BASE_GRAL[[#This Row],[COMA ADJUDICADO]]+BASE_GRAL[[#This Row],[AVI ADJUDICADO]]</f>
        <v>0</v>
      </c>
      <c r="AL51" s="124" t="s">
        <v>1223</v>
      </c>
      <c r="AM51" s="13" t="s">
        <v>316</v>
      </c>
      <c r="AN51" s="94">
        <v>43673</v>
      </c>
    </row>
    <row r="52" spans="1:40" x14ac:dyDescent="0.25">
      <c r="A52">
        <v>49</v>
      </c>
      <c r="B52" t="s">
        <v>1467</v>
      </c>
      <c r="C52">
        <f>IFERROR(INDEX(Tabla6[AÑO],MATCH(B52,Tabla6[Alias],0)),"")</f>
        <v>2017</v>
      </c>
      <c r="D52">
        <f>IFERROR(INDEX(Tabla6[DECRETO],MATCH(B52,Tabla6[Alias],0)),"")</f>
        <v>418</v>
      </c>
      <c r="E52" s="6">
        <f>IFERROR(INDEX(Tabla6[Fecha de Promulgación],MATCH(B52,Tabla6[Alias],0)),"")</f>
        <v>42920</v>
      </c>
      <c r="F52">
        <f>IFERROR(INDEX(Tabla6[Tabla],MATCH(B52,Tabla6[Alias],0)),"")</f>
        <v>17</v>
      </c>
      <c r="G52" s="5" t="str">
        <f>IFERROR(INDEX(Tabla6[Sistema],MATCH(B52,Tabla6[Alias],0)),"")</f>
        <v>E</v>
      </c>
      <c r="H52" s="5" t="str">
        <f>IFERROR(INDEX(Tabla6[ID_OBRA],MATCH(B52,Tabla6[Alias],0)),"")</f>
        <v>17_418_Z_OA_49</v>
      </c>
      <c r="I52" t="str">
        <f>IFERROR(INDEX(Tabla6[Nombre Obra],MATCH(B52,Tabla6[Alias],0)),"")</f>
        <v>Ampliación en S/E San Carlos</v>
      </c>
      <c r="J52" t="str">
        <f>IFERROR(INDEX(Tabla6[Segmento],MATCH(B52,Tabla6[Alias],0)),"")</f>
        <v>ZONAL</v>
      </c>
      <c r="K52">
        <f>IFERROR(INDEX(Tabla6[Region],MATCH(B52,Tabla6[Alias],0)),"")</f>
        <v>0</v>
      </c>
      <c r="L52" s="13" t="str">
        <f>IFERROR(INDEX(Tabla6[Tipo de Obra],MATCH(B52,Tabla6[Alias],0))," ")</f>
        <v>OA</v>
      </c>
      <c r="M52" s="13" t="str">
        <f>IFERROR(INDEX(Tabla6[Tipo de Obras],MATCH(B52,Tabla6[Alias],0))," ")</f>
        <v>S/E</v>
      </c>
      <c r="N52" s="13">
        <f>IFERROR(INDEX(Tabla6[Plazo constructivo],MATCH(B52,Tabla6[Alias],0))," ")</f>
        <v>18</v>
      </c>
      <c r="O52" s="14">
        <f>IFERROR(INDEX(Tabla6[Fecha EO],MATCH(B52,Tabla6[Alias],0))," ")</f>
        <v>43617</v>
      </c>
      <c r="P52" s="95">
        <f>IFERROR(INDEX(Tabla6[AVI REF],MATCH(B52,Tabla6[Alias],0))," ")</f>
        <v>232700</v>
      </c>
      <c r="Q52" s="95">
        <f>IFERROR(INDEX(Tabla6[COMA REF],MATCH(B52,Tabla6[Alias],0))," ")</f>
        <v>36900</v>
      </c>
      <c r="R52" s="95">
        <f>IFERROR(INDEX(Tabla6[VATT REF '[AVI + COMA']],MATCH(B52,Tabla6[Alias],0))," ")</f>
        <v>269600</v>
      </c>
      <c r="S52" t="str">
        <f>IFERROR(INDEX(Tabla6[Propietario],MATCH(B52,Tabla6[Alias],0))," ")</f>
        <v>CGE S.A.</v>
      </c>
      <c r="T52" t="s">
        <v>44</v>
      </c>
      <c r="U52" t="s">
        <v>71</v>
      </c>
      <c r="V52" s="143" t="s">
        <v>176</v>
      </c>
      <c r="W52" s="13" t="s">
        <v>155</v>
      </c>
      <c r="X52" s="13" t="s">
        <v>121</v>
      </c>
      <c r="Z52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1_PROC_OA_17_G15</v>
      </c>
      <c r="AA5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52" s="25" t="s">
        <v>257</v>
      </c>
      <c r="AC52" s="5"/>
      <c r="AD52" s="5"/>
      <c r="AE52" s="132" t="s">
        <v>317</v>
      </c>
      <c r="AF52" s="94" t="str">
        <f>IFERROR(INDEX(Tabla10[ID],MATCH(BASE_GRAL[[#This Row],[EMPRESA ADJUDICADA]],Tabla10[Alias],0)),"")</f>
        <v/>
      </c>
      <c r="AG52" s="13" t="s">
        <v>317</v>
      </c>
      <c r="AH52" s="13" t="s">
        <v>317</v>
      </c>
      <c r="AI52" s="5"/>
      <c r="AJ52" s="5">
        <v>0</v>
      </c>
      <c r="AK52">
        <f>+BASE_GRAL[[#This Row],[COMA ADJUDICADO]]+BASE_GRAL[[#This Row],[AVI ADJUDICADO]]</f>
        <v>0</v>
      </c>
      <c r="AL52" s="125" t="s">
        <v>1230</v>
      </c>
      <c r="AM52" s="13" t="s">
        <v>317</v>
      </c>
      <c r="AN52" s="94" t="s">
        <v>317</v>
      </c>
    </row>
    <row r="53" spans="1:40" x14ac:dyDescent="0.25">
      <c r="A53">
        <v>50</v>
      </c>
      <c r="B53" t="s">
        <v>1468</v>
      </c>
      <c r="C53">
        <f>IFERROR(INDEX(Tabla6[AÑO],MATCH(B53,Tabla6[Alias],0)),"")</f>
        <v>2017</v>
      </c>
      <c r="D53">
        <f>IFERROR(INDEX(Tabla6[DECRETO],MATCH(B53,Tabla6[Alias],0)),"")</f>
        <v>418</v>
      </c>
      <c r="E53" s="6">
        <f>IFERROR(INDEX(Tabla6[Fecha de Promulgación],MATCH(B53,Tabla6[Alias],0)),"")</f>
        <v>42920</v>
      </c>
      <c r="F53">
        <f>IFERROR(INDEX(Tabla6[Tabla],MATCH(B53,Tabla6[Alias],0)),"")</f>
        <v>17</v>
      </c>
      <c r="G53" s="5" t="str">
        <f>IFERROR(INDEX(Tabla6[Sistema],MATCH(B53,Tabla6[Alias],0)),"")</f>
        <v>E</v>
      </c>
      <c r="H53" s="5" t="str">
        <f>IFERROR(INDEX(Tabla6[ID_OBRA],MATCH(B53,Tabla6[Alias],0)),"")</f>
        <v>17_418_Z_OA_50</v>
      </c>
      <c r="I53" t="str">
        <f>IFERROR(INDEX(Tabla6[Nombre Obra],MATCH(B53,Tabla6[Alias],0)),"")</f>
        <v>Ampliación en S/E Parral</v>
      </c>
      <c r="J53" t="str">
        <f>IFERROR(INDEX(Tabla6[Segmento],MATCH(B53,Tabla6[Alias],0)),"")</f>
        <v>ZONAL</v>
      </c>
      <c r="K53">
        <f>IFERROR(INDEX(Tabla6[Region],MATCH(B53,Tabla6[Alias],0)),"")</f>
        <v>0</v>
      </c>
      <c r="L53" s="13" t="str">
        <f>IFERROR(INDEX(Tabla6[Tipo de Obra],MATCH(B53,Tabla6[Alias],0))," ")</f>
        <v>OA</v>
      </c>
      <c r="M53" s="13" t="str">
        <f>IFERROR(INDEX(Tabla6[Tipo de Obras],MATCH(B53,Tabla6[Alias],0))," ")</f>
        <v>S/E</v>
      </c>
      <c r="N53" s="13">
        <f>IFERROR(INDEX(Tabla6[Plazo constructivo],MATCH(B53,Tabla6[Alias],0))," ")</f>
        <v>24</v>
      </c>
      <c r="O53" s="14">
        <f>IFERROR(INDEX(Tabla6[Fecha EO],MATCH(B53,Tabla6[Alias],0))," ")</f>
        <v>43800</v>
      </c>
      <c r="P53" s="95">
        <f>IFERROR(INDEX(Tabla6[AVI REF],MATCH(B53,Tabla6[Alias],0))," ")</f>
        <v>48600</v>
      </c>
      <c r="Q53" s="95">
        <f>IFERROR(INDEX(Tabla6[COMA REF],MATCH(B53,Tabla6[Alias],0))," ")</f>
        <v>7700</v>
      </c>
      <c r="R53" s="95">
        <f>IFERROR(INDEX(Tabla6[VATT REF '[AVI + COMA']],MATCH(B53,Tabla6[Alias],0))," ")</f>
        <v>56300</v>
      </c>
      <c r="S53" t="str">
        <f>IFERROR(INDEX(Tabla6[Propietario],MATCH(B53,Tabla6[Alias],0))," ")</f>
        <v>CGE S.A.</v>
      </c>
      <c r="T53" t="s">
        <v>44</v>
      </c>
      <c r="U53" t="s">
        <v>86</v>
      </c>
      <c r="V53" s="143" t="s">
        <v>176</v>
      </c>
      <c r="W53" s="13" t="s">
        <v>155</v>
      </c>
      <c r="X53" s="13" t="s">
        <v>121</v>
      </c>
      <c r="Z53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1_PROC_OA_17_G15</v>
      </c>
      <c r="AA5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53" s="25" t="s">
        <v>258</v>
      </c>
      <c r="AC53" s="5"/>
      <c r="AD53" s="5"/>
      <c r="AE53" s="132" t="s">
        <v>317</v>
      </c>
      <c r="AF53" s="94" t="str">
        <f>IFERROR(INDEX(Tabla10[ID],MATCH(BASE_GRAL[[#This Row],[EMPRESA ADJUDICADA]],Tabla10[Alias],0)),"")</f>
        <v/>
      </c>
      <c r="AG53" s="13" t="s">
        <v>317</v>
      </c>
      <c r="AH53" s="13" t="s">
        <v>317</v>
      </c>
      <c r="AI53" s="5"/>
      <c r="AJ53" s="5">
        <v>0</v>
      </c>
      <c r="AK53">
        <f>+BASE_GRAL[[#This Row],[COMA ADJUDICADO]]+BASE_GRAL[[#This Row],[AVI ADJUDICADO]]</f>
        <v>0</v>
      </c>
      <c r="AL53" s="125" t="s">
        <v>1230</v>
      </c>
      <c r="AM53" s="13" t="s">
        <v>317</v>
      </c>
      <c r="AN53" s="94" t="s">
        <v>317</v>
      </c>
    </row>
    <row r="54" spans="1:40" x14ac:dyDescent="0.25">
      <c r="A54">
        <v>51</v>
      </c>
      <c r="B54" t="s">
        <v>1469</v>
      </c>
      <c r="C54">
        <f>IFERROR(INDEX(Tabla6[AÑO],MATCH(B54,Tabla6[Alias],0)),"")</f>
        <v>2017</v>
      </c>
      <c r="D54">
        <f>IFERROR(INDEX(Tabla6[DECRETO],MATCH(B54,Tabla6[Alias],0)),"")</f>
        <v>418</v>
      </c>
      <c r="E54" s="6">
        <f>IFERROR(INDEX(Tabla6[Fecha de Promulgación],MATCH(B54,Tabla6[Alias],0)),"")</f>
        <v>42920</v>
      </c>
      <c r="F54">
        <f>IFERROR(INDEX(Tabla6[Tabla],MATCH(B54,Tabla6[Alias],0)),"")</f>
        <v>17</v>
      </c>
      <c r="G54" s="5" t="str">
        <f>IFERROR(INDEX(Tabla6[Sistema],MATCH(B54,Tabla6[Alias],0)),"")</f>
        <v>E</v>
      </c>
      <c r="H54" s="5" t="str">
        <f>IFERROR(INDEX(Tabla6[ID_OBRA],MATCH(B54,Tabla6[Alias],0)),"")</f>
        <v>17_418_Z_OA_51</v>
      </c>
      <c r="I54" t="str">
        <f>IFERROR(INDEX(Tabla6[Nombre Obra],MATCH(B54,Tabla6[Alias],0)),"")</f>
        <v>Aumento de capacidad de transformación en S/E Longaví</v>
      </c>
      <c r="J54" t="str">
        <f>IFERROR(INDEX(Tabla6[Segmento],MATCH(B54,Tabla6[Alias],0)),"")</f>
        <v>ZONAL</v>
      </c>
      <c r="K54">
        <f>IFERROR(INDEX(Tabla6[Region],MATCH(B54,Tabla6[Alias],0)),"")</f>
        <v>0</v>
      </c>
      <c r="L54" s="13" t="str">
        <f>IFERROR(INDEX(Tabla6[Tipo de Obra],MATCH(B54,Tabla6[Alias],0))," ")</f>
        <v>OA</v>
      </c>
      <c r="M54" s="13" t="str">
        <f>IFERROR(INDEX(Tabla6[Tipo de Obras],MATCH(B54,Tabla6[Alias],0))," ")</f>
        <v>S/E</v>
      </c>
      <c r="N54" s="13">
        <f>IFERROR(INDEX(Tabla6[Plazo constructivo],MATCH(B54,Tabla6[Alias],0))," ")</f>
        <v>18</v>
      </c>
      <c r="O54" s="14">
        <f>IFERROR(INDEX(Tabla6[Fecha EO],MATCH(B54,Tabla6[Alias],0))," ")</f>
        <v>43617</v>
      </c>
      <c r="P54" s="95">
        <f>IFERROR(INDEX(Tabla6[AVI REF],MATCH(B54,Tabla6[Alias],0))," ")</f>
        <v>75600</v>
      </c>
      <c r="Q54" s="95">
        <f>IFERROR(INDEX(Tabla6[COMA REF],MATCH(B54,Tabla6[Alias],0))," ")</f>
        <v>12000</v>
      </c>
      <c r="R54" s="95">
        <f>IFERROR(INDEX(Tabla6[VATT REF '[AVI + COMA']],MATCH(B54,Tabla6[Alias],0))," ")</f>
        <v>87600</v>
      </c>
      <c r="S54" t="str">
        <f>IFERROR(INDEX(Tabla6[Propietario],MATCH(B54,Tabla6[Alias],0))," ")</f>
        <v>Luz Parral</v>
      </c>
      <c r="T54" t="s">
        <v>89</v>
      </c>
      <c r="U54" t="s">
        <v>88</v>
      </c>
      <c r="V54" s="143" t="s">
        <v>176</v>
      </c>
      <c r="W54" s="13" t="s">
        <v>155</v>
      </c>
      <c r="X54" s="13" t="s">
        <v>121</v>
      </c>
      <c r="Z54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1_PROC_OA_17_G15</v>
      </c>
      <c r="AA5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54" s="25" t="s">
        <v>259</v>
      </c>
      <c r="AC54" s="5"/>
      <c r="AD54" s="5"/>
      <c r="AE54" s="132" t="s">
        <v>317</v>
      </c>
      <c r="AF54" s="94" t="str">
        <f>IFERROR(INDEX(Tabla10[ID],MATCH(BASE_GRAL[[#This Row],[EMPRESA ADJUDICADA]],Tabla10[Alias],0)),"")</f>
        <v/>
      </c>
      <c r="AG54" s="13" t="s">
        <v>317</v>
      </c>
      <c r="AH54" s="13" t="s">
        <v>317</v>
      </c>
      <c r="AI54" s="5"/>
      <c r="AJ54" s="5">
        <v>0</v>
      </c>
      <c r="AK54">
        <f>+BASE_GRAL[[#This Row],[COMA ADJUDICADO]]+BASE_GRAL[[#This Row],[AVI ADJUDICADO]]</f>
        <v>0</v>
      </c>
      <c r="AL54" s="125" t="s">
        <v>1230</v>
      </c>
      <c r="AM54" s="13" t="s">
        <v>317</v>
      </c>
      <c r="AN54" s="94" t="s">
        <v>317</v>
      </c>
    </row>
    <row r="55" spans="1:40" x14ac:dyDescent="0.25">
      <c r="A55">
        <v>52</v>
      </c>
      <c r="B55" t="s">
        <v>1470</v>
      </c>
      <c r="C55">
        <f>IFERROR(INDEX(Tabla6[AÑO],MATCH(B55,Tabla6[Alias],0)),"")</f>
        <v>2017</v>
      </c>
      <c r="D55">
        <f>IFERROR(INDEX(Tabla6[DECRETO],MATCH(B55,Tabla6[Alias],0)),"")</f>
        <v>418</v>
      </c>
      <c r="E55" s="6">
        <f>IFERROR(INDEX(Tabla6[Fecha de Promulgación],MATCH(B55,Tabla6[Alias],0)),"")</f>
        <v>42920</v>
      </c>
      <c r="F55">
        <f>IFERROR(INDEX(Tabla6[Tabla],MATCH(B55,Tabla6[Alias],0)),"")</f>
        <v>17</v>
      </c>
      <c r="G55" s="5" t="str">
        <f>IFERROR(INDEX(Tabla6[Sistema],MATCH(B55,Tabla6[Alias],0)),"")</f>
        <v>E</v>
      </c>
      <c r="H55" s="5" t="str">
        <f>IFERROR(INDEX(Tabla6[ID_OBRA],MATCH(B55,Tabla6[Alias],0)),"")</f>
        <v>17_418_Z_OA_52</v>
      </c>
      <c r="I55" t="str">
        <f>IFERROR(INDEX(Tabla6[Nombre Obra],MATCH(B55,Tabla6[Alias],0)),"")</f>
        <v>Seccionamiento en S/E San Gregorio</v>
      </c>
      <c r="J55" t="str">
        <f>IFERROR(INDEX(Tabla6[Segmento],MATCH(B55,Tabla6[Alias],0)),"")</f>
        <v>ZONAL</v>
      </c>
      <c r="K55">
        <f>IFERROR(INDEX(Tabla6[Region],MATCH(B55,Tabla6[Alias],0)),"")</f>
        <v>0</v>
      </c>
      <c r="L55" s="13" t="str">
        <f>IFERROR(INDEX(Tabla6[Tipo de Obra],MATCH(B55,Tabla6[Alias],0))," ")</f>
        <v>OA</v>
      </c>
      <c r="M55" s="13" t="str">
        <f>IFERROR(INDEX(Tabla6[Tipo de Obras],MATCH(B55,Tabla6[Alias],0))," ")</f>
        <v>S/E</v>
      </c>
      <c r="N55" s="13">
        <f>IFERROR(INDEX(Tabla6[Plazo constructivo],MATCH(B55,Tabla6[Alias],0))," ")</f>
        <v>18</v>
      </c>
      <c r="O55" s="14">
        <f>IFERROR(INDEX(Tabla6[Fecha EO],MATCH(B55,Tabla6[Alias],0))," ")</f>
        <v>43617</v>
      </c>
      <c r="P55" s="95">
        <f>IFERROR(INDEX(Tabla6[AVI REF],MATCH(B55,Tabla6[Alias],0))," ")</f>
        <v>60700</v>
      </c>
      <c r="Q55" s="95">
        <f>IFERROR(INDEX(Tabla6[COMA REF],MATCH(B55,Tabla6[Alias],0))," ")</f>
        <v>9600</v>
      </c>
      <c r="R55" s="95">
        <f>IFERROR(INDEX(Tabla6[VATT REF '[AVI + COMA']],MATCH(B55,Tabla6[Alias],0))," ")</f>
        <v>70300</v>
      </c>
      <c r="S55" t="str">
        <f>IFERROR(INDEX(Tabla6[Propietario],MATCH(B55,Tabla6[Alias],0))," ")</f>
        <v>CGE S.A.</v>
      </c>
      <c r="T55" t="s">
        <v>54</v>
      </c>
      <c r="U55" t="s">
        <v>91</v>
      </c>
      <c r="V55" s="143" t="s">
        <v>176</v>
      </c>
      <c r="W55" s="13" t="s">
        <v>155</v>
      </c>
      <c r="X55" s="13" t="s">
        <v>121</v>
      </c>
      <c r="Z55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1_PROC_OA_17_G15</v>
      </c>
      <c r="AA5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55" s="25" t="s">
        <v>260</v>
      </c>
      <c r="AC55" s="5"/>
      <c r="AD55" s="5"/>
      <c r="AE55" s="132" t="s">
        <v>317</v>
      </c>
      <c r="AF55" s="94" t="str">
        <f>IFERROR(INDEX(Tabla10[ID],MATCH(BASE_GRAL[[#This Row],[EMPRESA ADJUDICADA]],Tabla10[Alias],0)),"")</f>
        <v/>
      </c>
      <c r="AG55" s="13" t="s">
        <v>317</v>
      </c>
      <c r="AH55" s="13" t="s">
        <v>317</v>
      </c>
      <c r="AI55" s="5"/>
      <c r="AJ55" s="5">
        <v>0</v>
      </c>
      <c r="AK55">
        <f>+BASE_GRAL[[#This Row],[COMA ADJUDICADO]]+BASE_GRAL[[#This Row],[AVI ADJUDICADO]]</f>
        <v>0</v>
      </c>
      <c r="AL55" s="125" t="s">
        <v>1230</v>
      </c>
      <c r="AM55" s="13" t="s">
        <v>317</v>
      </c>
      <c r="AN55" s="94" t="s">
        <v>317</v>
      </c>
    </row>
    <row r="56" spans="1:40" x14ac:dyDescent="0.25">
      <c r="A56">
        <v>53</v>
      </c>
      <c r="B56" t="s">
        <v>1471</v>
      </c>
      <c r="C56">
        <f>IFERROR(INDEX(Tabla6[AÑO],MATCH(B56,Tabla6[Alias],0)),"")</f>
        <v>2017</v>
      </c>
      <c r="D56">
        <f>IFERROR(INDEX(Tabla6[DECRETO],MATCH(B56,Tabla6[Alias],0)),"")</f>
        <v>418</v>
      </c>
      <c r="E56" s="6">
        <f>IFERROR(INDEX(Tabla6[Fecha de Promulgación],MATCH(B56,Tabla6[Alias],0)),"")</f>
        <v>42920</v>
      </c>
      <c r="F56">
        <f>IFERROR(INDEX(Tabla6[Tabla],MATCH(B56,Tabla6[Alias],0)),"")</f>
        <v>17</v>
      </c>
      <c r="G56" s="5" t="str">
        <f>IFERROR(INDEX(Tabla6[Sistema],MATCH(B56,Tabla6[Alias],0)),"")</f>
        <v>E</v>
      </c>
      <c r="H56" s="5" t="str">
        <f>IFERROR(INDEX(Tabla6[ID_OBRA],MATCH(B56,Tabla6[Alias],0)),"")</f>
        <v>17_418_Z_OA_53</v>
      </c>
      <c r="I56" t="str">
        <f>IFERROR(INDEX(Tabla6[Nombre Obra],MATCH(B56,Tabla6[Alias],0)),"")</f>
        <v>Ampliación en S/E San Gregorio</v>
      </c>
      <c r="J56" t="str">
        <f>IFERROR(INDEX(Tabla6[Segmento],MATCH(B56,Tabla6[Alias],0)),"")</f>
        <v>ZONAL</v>
      </c>
      <c r="K56">
        <f>IFERROR(INDEX(Tabla6[Region],MATCH(B56,Tabla6[Alias],0)),"")</f>
        <v>0</v>
      </c>
      <c r="L56" s="13" t="str">
        <f>IFERROR(INDEX(Tabla6[Tipo de Obra],MATCH(B56,Tabla6[Alias],0))," ")</f>
        <v>OA</v>
      </c>
      <c r="M56" s="13" t="str">
        <f>IFERROR(INDEX(Tabla6[Tipo de Obras],MATCH(B56,Tabla6[Alias],0))," ")</f>
        <v>S/E</v>
      </c>
      <c r="N56" s="13">
        <f>IFERROR(INDEX(Tabla6[Plazo constructivo],MATCH(B56,Tabla6[Alias],0))," ")</f>
        <v>18</v>
      </c>
      <c r="O56" s="14">
        <f>IFERROR(INDEX(Tabla6[Fecha EO],MATCH(B56,Tabla6[Alias],0))," ")</f>
        <v>43617</v>
      </c>
      <c r="P56" s="95">
        <f>IFERROR(INDEX(Tabla6[AVI REF],MATCH(B56,Tabla6[Alias],0))," ")</f>
        <v>118900</v>
      </c>
      <c r="Q56" s="95">
        <f>IFERROR(INDEX(Tabla6[COMA REF],MATCH(B56,Tabla6[Alias],0))," ")</f>
        <v>18900</v>
      </c>
      <c r="R56" s="95">
        <f>IFERROR(INDEX(Tabla6[VATT REF '[AVI + COMA']],MATCH(B56,Tabla6[Alias],0))," ")</f>
        <v>137800</v>
      </c>
      <c r="S56" t="str">
        <f>IFERROR(INDEX(Tabla6[Propietario],MATCH(B56,Tabla6[Alias],0))," ")</f>
        <v>Luz Parral</v>
      </c>
      <c r="T56" t="s">
        <v>44</v>
      </c>
      <c r="U56" t="s">
        <v>91</v>
      </c>
      <c r="V56" s="143" t="s">
        <v>176</v>
      </c>
      <c r="W56" s="13" t="s">
        <v>155</v>
      </c>
      <c r="X56" s="13" t="s">
        <v>121</v>
      </c>
      <c r="Z56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1_PROC_OA_17_G15</v>
      </c>
      <c r="AA5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56" s="25" t="s">
        <v>261</v>
      </c>
      <c r="AC56" s="5"/>
      <c r="AD56" s="5"/>
      <c r="AE56" s="132" t="s">
        <v>317</v>
      </c>
      <c r="AF56" s="94" t="str">
        <f>IFERROR(INDEX(Tabla10[ID],MATCH(BASE_GRAL[[#This Row],[EMPRESA ADJUDICADA]],Tabla10[Alias],0)),"")</f>
        <v/>
      </c>
      <c r="AG56" s="13" t="s">
        <v>317</v>
      </c>
      <c r="AH56" s="13" t="s">
        <v>317</v>
      </c>
      <c r="AI56" s="5"/>
      <c r="AJ56" s="5">
        <v>0</v>
      </c>
      <c r="AK56">
        <f>+BASE_GRAL[[#This Row],[COMA ADJUDICADO]]+BASE_GRAL[[#This Row],[AVI ADJUDICADO]]</f>
        <v>0</v>
      </c>
      <c r="AL56" s="125" t="s">
        <v>1230</v>
      </c>
      <c r="AM56" s="13" t="s">
        <v>317</v>
      </c>
      <c r="AN56" s="94" t="s">
        <v>317</v>
      </c>
    </row>
    <row r="57" spans="1:40" x14ac:dyDescent="0.25">
      <c r="A57">
        <v>54</v>
      </c>
      <c r="B57" t="s">
        <v>1472</v>
      </c>
      <c r="C57">
        <f>IFERROR(INDEX(Tabla6[AÑO],MATCH(B57,Tabla6[Alias],0)),"")</f>
        <v>2017</v>
      </c>
      <c r="D57">
        <f>IFERROR(INDEX(Tabla6[DECRETO],MATCH(B57,Tabla6[Alias],0)),"")</f>
        <v>418</v>
      </c>
      <c r="E57" s="6">
        <f>IFERROR(INDEX(Tabla6[Fecha de Promulgación],MATCH(B57,Tabla6[Alias],0)),"")</f>
        <v>42920</v>
      </c>
      <c r="F57">
        <f>IFERROR(INDEX(Tabla6[Tabla],MATCH(B57,Tabla6[Alias],0)),"")</f>
        <v>17</v>
      </c>
      <c r="G57" s="5" t="str">
        <f>IFERROR(INDEX(Tabla6[Sistema],MATCH(B57,Tabla6[Alias],0)),"")</f>
        <v>E</v>
      </c>
      <c r="H57" s="5" t="str">
        <f>IFERROR(INDEX(Tabla6[ID_OBRA],MATCH(B57,Tabla6[Alias],0)),"")</f>
        <v>17_418_Z_OA_54</v>
      </c>
      <c r="I57" t="str">
        <f>IFERROR(INDEX(Tabla6[Nombre Obra],MATCH(B57,Tabla6[Alias],0)),"")</f>
        <v>Ampliación en S/E Avellano</v>
      </c>
      <c r="J57" t="str">
        <f>IFERROR(INDEX(Tabla6[Segmento],MATCH(B57,Tabla6[Alias],0)),"")</f>
        <v>ZONAL</v>
      </c>
      <c r="K57">
        <f>IFERROR(INDEX(Tabla6[Region],MATCH(B57,Tabla6[Alias],0)),"")</f>
        <v>0</v>
      </c>
      <c r="L57" s="13" t="str">
        <f>IFERROR(INDEX(Tabla6[Tipo de Obra],MATCH(B57,Tabla6[Alias],0))," ")</f>
        <v>OA</v>
      </c>
      <c r="M57" s="13" t="str">
        <f>IFERROR(INDEX(Tabla6[Tipo de Obras],MATCH(B57,Tabla6[Alias],0))," ")</f>
        <v>S/E</v>
      </c>
      <c r="N57" s="13">
        <f>IFERROR(INDEX(Tabla6[Plazo constructivo],MATCH(B57,Tabla6[Alias],0))," ")</f>
        <v>18</v>
      </c>
      <c r="O57" s="14">
        <f>IFERROR(INDEX(Tabla6[Fecha EO],MATCH(B57,Tabla6[Alias],0))," ")</f>
        <v>43617</v>
      </c>
      <c r="P57" s="95">
        <f>IFERROR(INDEX(Tabla6[AVI REF],MATCH(B57,Tabla6[Alias],0))," ")</f>
        <v>306600</v>
      </c>
      <c r="Q57" s="95">
        <f>IFERROR(INDEX(Tabla6[COMA REF],MATCH(B57,Tabla6[Alias],0))," ")</f>
        <v>48700</v>
      </c>
      <c r="R57" s="95">
        <f>IFERROR(INDEX(Tabla6[VATT REF '[AVI + COMA']],MATCH(B57,Tabla6[Alias],0))," ")</f>
        <v>355300</v>
      </c>
      <c r="S57" t="str">
        <f>IFERROR(INDEX(Tabla6[Propietario],MATCH(B57,Tabla6[Alias],0))," ")</f>
        <v>CGE S.A.</v>
      </c>
      <c r="T57" t="s">
        <v>44</v>
      </c>
      <c r="U57" t="s">
        <v>78</v>
      </c>
      <c r="V57" s="143" t="s">
        <v>176</v>
      </c>
      <c r="W57" s="13" t="s">
        <v>155</v>
      </c>
      <c r="X57" s="13" t="s">
        <v>123</v>
      </c>
      <c r="Z57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1_PROC_OA_17_G16</v>
      </c>
      <c r="AA5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57" s="25" t="s">
        <v>262</v>
      </c>
      <c r="AC57" s="5"/>
      <c r="AD57" s="5"/>
      <c r="AE57" s="132" t="s">
        <v>317</v>
      </c>
      <c r="AF57" s="94" t="str">
        <f>IFERROR(INDEX(Tabla10[ID],MATCH(BASE_GRAL[[#This Row],[EMPRESA ADJUDICADA]],Tabla10[Alias],0)),"")</f>
        <v/>
      </c>
      <c r="AG57" s="13" t="s">
        <v>317</v>
      </c>
      <c r="AH57" s="13" t="s">
        <v>317</v>
      </c>
      <c r="AI57" s="5"/>
      <c r="AJ57" s="5">
        <v>0</v>
      </c>
      <c r="AK57">
        <f>+BASE_GRAL[[#This Row],[COMA ADJUDICADO]]+BASE_GRAL[[#This Row],[AVI ADJUDICADO]]</f>
        <v>0</v>
      </c>
      <c r="AL57" s="17" t="s">
        <v>1224</v>
      </c>
      <c r="AM57" s="13" t="s">
        <v>317</v>
      </c>
      <c r="AN57" s="94" t="s">
        <v>317</v>
      </c>
    </row>
    <row r="58" spans="1:40" x14ac:dyDescent="0.25">
      <c r="A58">
        <v>55</v>
      </c>
      <c r="B58" t="s">
        <v>1473</v>
      </c>
      <c r="C58">
        <f>IFERROR(INDEX(Tabla6[AÑO],MATCH(B58,Tabla6[Alias],0)),"")</f>
        <v>2017</v>
      </c>
      <c r="D58">
        <f>IFERROR(INDEX(Tabla6[DECRETO],MATCH(B58,Tabla6[Alias],0)),"")</f>
        <v>418</v>
      </c>
      <c r="E58" s="6">
        <f>IFERROR(INDEX(Tabla6[Fecha de Promulgación],MATCH(B58,Tabla6[Alias],0)),"")</f>
        <v>42920</v>
      </c>
      <c r="F58">
        <f>IFERROR(INDEX(Tabla6[Tabla],MATCH(B58,Tabla6[Alias],0)),"")</f>
        <v>17</v>
      </c>
      <c r="G58" s="5" t="str">
        <f>IFERROR(INDEX(Tabla6[Sistema],MATCH(B58,Tabla6[Alias],0)),"")</f>
        <v>E</v>
      </c>
      <c r="H58" s="5" t="str">
        <f>IFERROR(INDEX(Tabla6[ID_OBRA],MATCH(B58,Tabla6[Alias],0)),"")</f>
        <v>17_418_Z_OA_55</v>
      </c>
      <c r="I58" t="str">
        <f>IFERROR(INDEX(Tabla6[Nombre Obra],MATCH(B58,Tabla6[Alias],0)),"")</f>
        <v>Cambio circuitos 1x154 kV Charrua - Tap Chillan y 1x154 kV Charrúa - Monterrico</v>
      </c>
      <c r="J58" t="str">
        <f>IFERROR(INDEX(Tabla6[Segmento],MATCH(B58,Tabla6[Alias],0)),"")</f>
        <v>ZONAL</v>
      </c>
      <c r="K58">
        <f>IFERROR(INDEX(Tabla6[Region],MATCH(B58,Tabla6[Alias],0)),"")</f>
        <v>0</v>
      </c>
      <c r="L58" s="13" t="str">
        <f>IFERROR(INDEX(Tabla6[Tipo de Obra],MATCH(B58,Tabla6[Alias],0))," ")</f>
        <v>OA</v>
      </c>
      <c r="M58" s="13" t="str">
        <f>IFERROR(INDEX(Tabla6[Tipo de Obras],MATCH(B58,Tabla6[Alias],0))," ")</f>
        <v>S/E</v>
      </c>
      <c r="N58" s="13">
        <f>IFERROR(INDEX(Tabla6[Plazo constructivo],MATCH(B58,Tabla6[Alias],0))," ")</f>
        <v>24</v>
      </c>
      <c r="O58" s="14">
        <f>IFERROR(INDEX(Tabla6[Fecha EO],MATCH(B58,Tabla6[Alias],0))," ")</f>
        <v>43800</v>
      </c>
      <c r="P58" s="95">
        <f>IFERROR(INDEX(Tabla6[AVI REF],MATCH(B58,Tabla6[Alias],0))," ")</f>
        <v>245100</v>
      </c>
      <c r="Q58" s="95">
        <f>IFERROR(INDEX(Tabla6[COMA REF],MATCH(B58,Tabla6[Alias],0))," ")</f>
        <v>38900</v>
      </c>
      <c r="R58" s="95">
        <f>IFERROR(INDEX(Tabla6[VATT REF '[AVI + COMA']],MATCH(B58,Tabla6[Alias],0))," ")</f>
        <v>284000</v>
      </c>
      <c r="S58" t="str">
        <f>IFERROR(INDEX(Tabla6[Propietario],MATCH(B58,Tabla6[Alias],0))," ")</f>
        <v>Transelec S.A.</v>
      </c>
      <c r="V58" s="143" t="s">
        <v>176</v>
      </c>
      <c r="W58" s="13" t="s">
        <v>155</v>
      </c>
      <c r="X58" s="13" t="s">
        <v>123</v>
      </c>
      <c r="Y58" t="s">
        <v>124</v>
      </c>
      <c r="Z58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1_PROC_OA_17_G16</v>
      </c>
      <c r="AA5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1_PROC_OA_17_G16_SG04</v>
      </c>
      <c r="AB58" s="25" t="s">
        <v>263</v>
      </c>
      <c r="AC58" s="5"/>
      <c r="AD58" s="5"/>
      <c r="AE58" s="132" t="s">
        <v>317</v>
      </c>
      <c r="AF58" s="94" t="str">
        <f>IFERROR(INDEX(Tabla10[ID],MATCH(BASE_GRAL[[#This Row],[EMPRESA ADJUDICADA]],Tabla10[Alias],0)),"")</f>
        <v/>
      </c>
      <c r="AG58" s="13" t="s">
        <v>317</v>
      </c>
      <c r="AH58" s="13" t="s">
        <v>317</v>
      </c>
      <c r="AI58" s="5"/>
      <c r="AJ58" s="5">
        <v>0</v>
      </c>
      <c r="AK58">
        <f>+BASE_GRAL[[#This Row],[COMA ADJUDICADO]]+BASE_GRAL[[#This Row],[AVI ADJUDICADO]]</f>
        <v>0</v>
      </c>
      <c r="AL58" s="96" t="s">
        <v>1224</v>
      </c>
      <c r="AM58" s="13" t="s">
        <v>317</v>
      </c>
      <c r="AN58" s="94" t="s">
        <v>317</v>
      </c>
    </row>
    <row r="59" spans="1:40" x14ac:dyDescent="0.25">
      <c r="A59">
        <v>56</v>
      </c>
      <c r="B59" t="s">
        <v>1474</v>
      </c>
      <c r="C59">
        <f>IFERROR(INDEX(Tabla6[AÑO],MATCH(B59,Tabla6[Alias],0)),"")</f>
        <v>2017</v>
      </c>
      <c r="D59">
        <f>IFERROR(INDEX(Tabla6[DECRETO],MATCH(B59,Tabla6[Alias],0)),"")</f>
        <v>418</v>
      </c>
      <c r="E59" s="6">
        <f>IFERROR(INDEX(Tabla6[Fecha de Promulgación],MATCH(B59,Tabla6[Alias],0)),"")</f>
        <v>42920</v>
      </c>
      <c r="F59">
        <f>IFERROR(INDEX(Tabla6[Tabla],MATCH(B59,Tabla6[Alias],0)),"")</f>
        <v>17</v>
      </c>
      <c r="G59" s="5" t="str">
        <f>IFERROR(INDEX(Tabla6[Sistema],MATCH(B59,Tabla6[Alias],0)),"")</f>
        <v>E</v>
      </c>
      <c r="H59" s="5" t="str">
        <f>IFERROR(INDEX(Tabla6[ID_OBRA],MATCH(B59,Tabla6[Alias],0)),"")</f>
        <v>17_418_Z_OA_56</v>
      </c>
      <c r="I59" t="str">
        <f>IFERROR(INDEX(Tabla6[Nombre Obra],MATCH(B59,Tabla6[Alias],0)),"")</f>
        <v>Ampliación en S/E Monterrico</v>
      </c>
      <c r="J59" t="str">
        <f>IFERROR(INDEX(Tabla6[Segmento],MATCH(B59,Tabla6[Alias],0)),"")</f>
        <v>ZONAL</v>
      </c>
      <c r="K59">
        <f>IFERROR(INDEX(Tabla6[Region],MATCH(B59,Tabla6[Alias],0)),"")</f>
        <v>0</v>
      </c>
      <c r="L59" s="13" t="str">
        <f>IFERROR(INDEX(Tabla6[Tipo de Obra],MATCH(B59,Tabla6[Alias],0))," ")</f>
        <v>OA</v>
      </c>
      <c r="M59" s="13" t="str">
        <f>IFERROR(INDEX(Tabla6[Tipo de Obras],MATCH(B59,Tabla6[Alias],0))," ")</f>
        <v>S/E</v>
      </c>
      <c r="N59" s="13">
        <f>IFERROR(INDEX(Tabla6[Plazo constructivo],MATCH(B59,Tabla6[Alias],0))," ")</f>
        <v>24</v>
      </c>
      <c r="O59" s="14">
        <f>IFERROR(INDEX(Tabla6[Fecha EO],MATCH(B59,Tabla6[Alias],0))," ")</f>
        <v>43800</v>
      </c>
      <c r="P59" s="95">
        <f>IFERROR(INDEX(Tabla6[AVI REF],MATCH(B59,Tabla6[Alias],0))," ")</f>
        <v>20300</v>
      </c>
      <c r="Q59" s="95">
        <f>IFERROR(INDEX(Tabla6[COMA REF],MATCH(B59,Tabla6[Alias],0))," ")</f>
        <v>3200</v>
      </c>
      <c r="R59" s="95">
        <f>IFERROR(INDEX(Tabla6[VATT REF '[AVI + COMA']],MATCH(B59,Tabla6[Alias],0))," ")</f>
        <v>23500</v>
      </c>
      <c r="S59" t="str">
        <f>IFERROR(INDEX(Tabla6[Propietario],MATCH(B59,Tabla6[Alias],0))," ")</f>
        <v>CGE S.A.</v>
      </c>
      <c r="T59" t="s">
        <v>44</v>
      </c>
      <c r="U59" t="s">
        <v>94</v>
      </c>
      <c r="V59" s="143" t="s">
        <v>176</v>
      </c>
      <c r="W59" s="13" t="s">
        <v>155</v>
      </c>
      <c r="X59" s="13" t="s">
        <v>123</v>
      </c>
      <c r="Y59" t="s">
        <v>124</v>
      </c>
      <c r="Z59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1_PROC_OA_17_G16</v>
      </c>
      <c r="AA5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1_PROC_OA_17_G16_SG04</v>
      </c>
      <c r="AB59" s="25" t="s">
        <v>264</v>
      </c>
      <c r="AC59" s="5"/>
      <c r="AD59" s="5"/>
      <c r="AE59" s="132" t="s">
        <v>317</v>
      </c>
      <c r="AF59" s="94" t="str">
        <f>IFERROR(INDEX(Tabla10[ID],MATCH(BASE_GRAL[[#This Row],[EMPRESA ADJUDICADA]],Tabla10[Alias],0)),"")</f>
        <v/>
      </c>
      <c r="AG59" s="13" t="s">
        <v>317</v>
      </c>
      <c r="AH59" s="13" t="s">
        <v>317</v>
      </c>
      <c r="AI59" s="5"/>
      <c r="AJ59" s="5">
        <v>0</v>
      </c>
      <c r="AK59">
        <f>+BASE_GRAL[[#This Row],[COMA ADJUDICADO]]+BASE_GRAL[[#This Row],[AVI ADJUDICADO]]</f>
        <v>0</v>
      </c>
      <c r="AL59" s="96" t="s">
        <v>1224</v>
      </c>
      <c r="AM59" s="13" t="s">
        <v>317</v>
      </c>
      <c r="AN59" s="94" t="s">
        <v>317</v>
      </c>
    </row>
    <row r="60" spans="1:40" x14ac:dyDescent="0.25">
      <c r="A60">
        <v>57</v>
      </c>
      <c r="B60" t="s">
        <v>1475</v>
      </c>
      <c r="C60">
        <f>IFERROR(INDEX(Tabla6[AÑO],MATCH(B60,Tabla6[Alias],0)),"")</f>
        <v>2017</v>
      </c>
      <c r="D60">
        <f>IFERROR(INDEX(Tabla6[DECRETO],MATCH(B60,Tabla6[Alias],0)),"")</f>
        <v>418</v>
      </c>
      <c r="E60" s="6">
        <f>IFERROR(INDEX(Tabla6[Fecha de Promulgación],MATCH(B60,Tabla6[Alias],0)),"")</f>
        <v>42920</v>
      </c>
      <c r="F60">
        <f>IFERROR(INDEX(Tabla6[Tabla],MATCH(B60,Tabla6[Alias],0)),"")</f>
        <v>17</v>
      </c>
      <c r="G60" s="5" t="str">
        <f>IFERROR(INDEX(Tabla6[Sistema],MATCH(B60,Tabla6[Alias],0)),"")</f>
        <v>E</v>
      </c>
      <c r="H60" s="5" t="str">
        <f>IFERROR(INDEX(Tabla6[ID_OBRA],MATCH(B60,Tabla6[Alias],0)),"")</f>
        <v>17_418_Z_OA_57</v>
      </c>
      <c r="I60" t="str">
        <f>IFERROR(INDEX(Tabla6[Nombre Obra],MATCH(B60,Tabla6[Alias],0)),"")</f>
        <v>Aumento de capacidad en S/E San Pedro</v>
      </c>
      <c r="J60" t="str">
        <f>IFERROR(INDEX(Tabla6[Segmento],MATCH(B60,Tabla6[Alias],0)),"")</f>
        <v>ZONAL</v>
      </c>
      <c r="K60">
        <f>IFERROR(INDEX(Tabla6[Region],MATCH(B60,Tabla6[Alias],0)),"")</f>
        <v>0</v>
      </c>
      <c r="L60" s="13" t="str">
        <f>IFERROR(INDEX(Tabla6[Tipo de Obra],MATCH(B60,Tabla6[Alias],0))," ")</f>
        <v>OA</v>
      </c>
      <c r="M60" s="13" t="str">
        <f>IFERROR(INDEX(Tabla6[Tipo de Obras],MATCH(B60,Tabla6[Alias],0))," ")</f>
        <v>S/E</v>
      </c>
      <c r="N60" s="13">
        <f>IFERROR(INDEX(Tabla6[Plazo constructivo],MATCH(B60,Tabla6[Alias],0))," ")</f>
        <v>18</v>
      </c>
      <c r="O60" s="14">
        <f>IFERROR(INDEX(Tabla6[Fecha EO],MATCH(B60,Tabla6[Alias],0))," ")</f>
        <v>43617</v>
      </c>
      <c r="P60" s="95">
        <f>IFERROR(INDEX(Tabla6[AVI REF],MATCH(B60,Tabla6[Alias],0))," ")</f>
        <v>125400</v>
      </c>
      <c r="Q60" s="95">
        <f>IFERROR(INDEX(Tabla6[COMA REF],MATCH(B60,Tabla6[Alias],0))," ")</f>
        <v>19900</v>
      </c>
      <c r="R60" s="95">
        <f>IFERROR(INDEX(Tabla6[VATT REF '[AVI + COMA']],MATCH(B60,Tabla6[Alias],0))," ")</f>
        <v>145300</v>
      </c>
      <c r="S60" t="str">
        <f>IFERROR(INDEX(Tabla6[Propietario],MATCH(B60,Tabla6[Alias],0))," ")</f>
        <v>CGE S.A.</v>
      </c>
      <c r="T60" t="s">
        <v>122</v>
      </c>
      <c r="U60" t="s">
        <v>75</v>
      </c>
      <c r="V60" s="143" t="s">
        <v>176</v>
      </c>
      <c r="W60" s="13" t="s">
        <v>155</v>
      </c>
      <c r="X60" s="13" t="s">
        <v>125</v>
      </c>
      <c r="Z60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1_PROC_OA_17_G17</v>
      </c>
      <c r="AA6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0" s="25" t="s">
        <v>265</v>
      </c>
      <c r="AC60" s="5"/>
      <c r="AD60" s="5"/>
      <c r="AE60" s="123" t="s">
        <v>166</v>
      </c>
      <c r="AF60" s="94" t="str">
        <f>IFERROR(INDEX(Tabla10[ID],MATCH(BASE_GRAL[[#This Row],[EMPRESA ADJUDICADA]],Tabla10[Alias],0)),"")</f>
        <v>PROP_08</v>
      </c>
      <c r="AG60" s="94">
        <v>43287</v>
      </c>
      <c r="AH60" s="95">
        <v>2085162.2884953676</v>
      </c>
      <c r="AI60" s="5"/>
      <c r="AJ60" s="5">
        <v>0</v>
      </c>
      <c r="AK60">
        <f>+BASE_GRAL[[#This Row],[COMA ADJUDICADO]]+BASE_GRAL[[#This Row],[AVI ADJUDICADO]]</f>
        <v>0</v>
      </c>
      <c r="AL60" s="124" t="s">
        <v>1223</v>
      </c>
      <c r="AM60" s="13" t="s">
        <v>316</v>
      </c>
      <c r="AN60" s="94">
        <v>43673</v>
      </c>
    </row>
    <row r="61" spans="1:40" x14ac:dyDescent="0.25">
      <c r="A61">
        <v>58</v>
      </c>
      <c r="B61" t="s">
        <v>1476</v>
      </c>
      <c r="C61">
        <f>IFERROR(INDEX(Tabla6[AÑO],MATCH(B61,Tabla6[Alias],0)),"")</f>
        <v>2017</v>
      </c>
      <c r="D61">
        <f>IFERROR(INDEX(Tabla6[DECRETO],MATCH(B61,Tabla6[Alias],0)),"")</f>
        <v>418</v>
      </c>
      <c r="E61" s="6">
        <f>IFERROR(INDEX(Tabla6[Fecha de Promulgación],MATCH(B61,Tabla6[Alias],0)),"")</f>
        <v>42920</v>
      </c>
      <c r="F61">
        <f>IFERROR(INDEX(Tabla6[Tabla],MATCH(B61,Tabla6[Alias],0)),"")</f>
        <v>17</v>
      </c>
      <c r="G61" s="5" t="str">
        <f>IFERROR(INDEX(Tabla6[Sistema],MATCH(B61,Tabla6[Alias],0)),"")</f>
        <v>E</v>
      </c>
      <c r="H61" s="5" t="str">
        <f>IFERROR(INDEX(Tabla6[ID_OBRA],MATCH(B61,Tabla6[Alias],0)),"")</f>
        <v>17_418_Z_OA_58</v>
      </c>
      <c r="I61" t="str">
        <f>IFERROR(INDEX(Tabla6[Nombre Obra],MATCH(B61,Tabla6[Alias],0)),"")</f>
        <v>Ampliación en S/E Mahns</v>
      </c>
      <c r="J61" t="str">
        <f>IFERROR(INDEX(Tabla6[Segmento],MATCH(B61,Tabla6[Alias],0)),"")</f>
        <v>ZONAL</v>
      </c>
      <c r="K61">
        <f>IFERROR(INDEX(Tabla6[Region],MATCH(B61,Tabla6[Alias],0)),"")</f>
        <v>0</v>
      </c>
      <c r="L61" s="13" t="str">
        <f>IFERROR(INDEX(Tabla6[Tipo de Obra],MATCH(B61,Tabla6[Alias],0))," ")</f>
        <v>OA</v>
      </c>
      <c r="M61" s="13" t="str">
        <f>IFERROR(INDEX(Tabla6[Tipo de Obras],MATCH(B61,Tabla6[Alias],0))," ")</f>
        <v>S/E</v>
      </c>
      <c r="N61" s="13">
        <f>IFERROR(INDEX(Tabla6[Plazo constructivo],MATCH(B61,Tabla6[Alias],0))," ")</f>
        <v>18</v>
      </c>
      <c r="O61" s="14">
        <f>IFERROR(INDEX(Tabla6[Fecha EO],MATCH(B61,Tabla6[Alias],0))," ")</f>
        <v>43617</v>
      </c>
      <c r="P61" s="95">
        <f>IFERROR(INDEX(Tabla6[AVI REF],MATCH(B61,Tabla6[Alias],0))," ")</f>
        <v>110100</v>
      </c>
      <c r="Q61" s="95">
        <f>IFERROR(INDEX(Tabla6[COMA REF],MATCH(B61,Tabla6[Alias],0))," ")</f>
        <v>17500</v>
      </c>
      <c r="R61" s="95">
        <f>IFERROR(INDEX(Tabla6[VATT REF '[AVI + COMA']],MATCH(B61,Tabla6[Alias],0))," ")</f>
        <v>127600</v>
      </c>
      <c r="S61" t="str">
        <f>IFERROR(INDEX(Tabla6[Propietario],MATCH(B61,Tabla6[Alias],0))," ")</f>
        <v>CGE S.A.</v>
      </c>
      <c r="T61" t="s">
        <v>44</v>
      </c>
      <c r="U61" t="s">
        <v>76</v>
      </c>
      <c r="V61" s="143" t="s">
        <v>176</v>
      </c>
      <c r="W61" s="13" t="s">
        <v>155</v>
      </c>
      <c r="X61" s="13" t="s">
        <v>125</v>
      </c>
      <c r="Z61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1_PROC_OA_17_G17</v>
      </c>
      <c r="AA61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1" s="25" t="s">
        <v>266</v>
      </c>
      <c r="AC61" s="5"/>
      <c r="AD61" s="5"/>
      <c r="AE61" s="123" t="s">
        <v>166</v>
      </c>
      <c r="AF61" s="94" t="str">
        <f>IFERROR(INDEX(Tabla10[ID],MATCH(BASE_GRAL[[#This Row],[EMPRESA ADJUDICADA]],Tabla10[Alias],0)),"")</f>
        <v>PROP_08</v>
      </c>
      <c r="AG61" s="94">
        <v>43287</v>
      </c>
      <c r="AH61" s="95">
        <v>1830752.5355928224</v>
      </c>
      <c r="AI61" s="5"/>
      <c r="AJ61" s="5">
        <v>0</v>
      </c>
      <c r="AK61">
        <f>+BASE_GRAL[[#This Row],[COMA ADJUDICADO]]+BASE_GRAL[[#This Row],[AVI ADJUDICADO]]</f>
        <v>0</v>
      </c>
      <c r="AL61" s="124" t="s">
        <v>1223</v>
      </c>
      <c r="AM61" s="13" t="s">
        <v>316</v>
      </c>
      <c r="AN61" s="94">
        <v>43673</v>
      </c>
    </row>
    <row r="62" spans="1:40" x14ac:dyDescent="0.25">
      <c r="A62">
        <v>59</v>
      </c>
      <c r="B62" t="s">
        <v>1477</v>
      </c>
      <c r="C62">
        <f>IFERROR(INDEX(Tabla6[AÑO],MATCH(B62,Tabla6[Alias],0)),"")</f>
        <v>2017</v>
      </c>
      <c r="D62">
        <f>IFERROR(INDEX(Tabla6[DECRETO],MATCH(B62,Tabla6[Alias],0)),"")</f>
        <v>418</v>
      </c>
      <c r="E62" s="6">
        <f>IFERROR(INDEX(Tabla6[Fecha de Promulgación],MATCH(B62,Tabla6[Alias],0)),"")</f>
        <v>42920</v>
      </c>
      <c r="F62">
        <f>IFERROR(INDEX(Tabla6[Tabla],MATCH(B62,Tabla6[Alias],0)),"")</f>
        <v>17</v>
      </c>
      <c r="G62" s="5" t="str">
        <f>IFERROR(INDEX(Tabla6[Sistema],MATCH(B62,Tabla6[Alias],0)),"")</f>
        <v>E</v>
      </c>
      <c r="H62" s="5" t="str">
        <f>IFERROR(INDEX(Tabla6[ID_OBRA],MATCH(B62,Tabla6[Alias],0)),"")</f>
        <v>17_418_Z_OA_59</v>
      </c>
      <c r="I62" t="str">
        <f>IFERROR(INDEX(Tabla6[Nombre Obra],MATCH(B62,Tabla6[Alias],0)),"")</f>
        <v>Ampliación en S/E Tomé</v>
      </c>
      <c r="J62" t="str">
        <f>IFERROR(INDEX(Tabla6[Segmento],MATCH(B62,Tabla6[Alias],0)),"")</f>
        <v>ZONAL</v>
      </c>
      <c r="K62">
        <f>IFERROR(INDEX(Tabla6[Region],MATCH(B62,Tabla6[Alias],0)),"")</f>
        <v>0</v>
      </c>
      <c r="L62" s="13" t="str">
        <f>IFERROR(INDEX(Tabla6[Tipo de Obra],MATCH(B62,Tabla6[Alias],0))," ")</f>
        <v>OA</v>
      </c>
      <c r="M62" s="13" t="str">
        <f>IFERROR(INDEX(Tabla6[Tipo de Obras],MATCH(B62,Tabla6[Alias],0))," ")</f>
        <v>S/E</v>
      </c>
      <c r="N62" s="13">
        <f>IFERROR(INDEX(Tabla6[Plazo constructivo],MATCH(B62,Tabla6[Alias],0))," ")</f>
        <v>24</v>
      </c>
      <c r="O62" s="14">
        <f>IFERROR(INDEX(Tabla6[Fecha EO],MATCH(B62,Tabla6[Alias],0))," ")</f>
        <v>43800</v>
      </c>
      <c r="P62" s="95">
        <f>IFERROR(INDEX(Tabla6[AVI REF],MATCH(B62,Tabla6[Alias],0))," ")</f>
        <v>46200</v>
      </c>
      <c r="Q62" s="95">
        <f>IFERROR(INDEX(Tabla6[COMA REF],MATCH(B62,Tabla6[Alias],0))," ")</f>
        <v>7300</v>
      </c>
      <c r="R62" s="95">
        <f>IFERROR(INDEX(Tabla6[VATT REF '[AVI + COMA']],MATCH(B62,Tabla6[Alias],0))," ")</f>
        <v>53500</v>
      </c>
      <c r="S62" t="str">
        <f>IFERROR(INDEX(Tabla6[Propietario],MATCH(B62,Tabla6[Alias],0))," ")</f>
        <v>CGE S.A.</v>
      </c>
      <c r="T62" t="s">
        <v>44</v>
      </c>
      <c r="U62" t="s">
        <v>83</v>
      </c>
      <c r="V62" s="143" t="s">
        <v>176</v>
      </c>
      <c r="W62" s="13" t="s">
        <v>155</v>
      </c>
      <c r="X62" s="13" t="s">
        <v>125</v>
      </c>
      <c r="Z62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1_PROC_OA_17_G17</v>
      </c>
      <c r="AA6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2" s="25" t="s">
        <v>267</v>
      </c>
      <c r="AC62" s="5"/>
      <c r="AD62" s="5"/>
      <c r="AE62" s="123" t="s">
        <v>166</v>
      </c>
      <c r="AF62" s="94" t="str">
        <f>IFERROR(INDEX(Tabla10[ID],MATCH(BASE_GRAL[[#This Row],[EMPRESA ADJUDICADA]],Tabla10[Alias],0)),"")</f>
        <v>PROP_08</v>
      </c>
      <c r="AG62" s="94">
        <v>43287</v>
      </c>
      <c r="AH62" s="95">
        <v>768217.68523513537</v>
      </c>
      <c r="AI62" s="5"/>
      <c r="AJ62" s="5">
        <v>0</v>
      </c>
      <c r="AK62">
        <f>+BASE_GRAL[[#This Row],[COMA ADJUDICADO]]+BASE_GRAL[[#This Row],[AVI ADJUDICADO]]</f>
        <v>0</v>
      </c>
      <c r="AL62" s="124" t="s">
        <v>1223</v>
      </c>
      <c r="AM62" s="13" t="s">
        <v>316</v>
      </c>
      <c r="AN62" s="94">
        <v>43673</v>
      </c>
    </row>
    <row r="63" spans="1:40" x14ac:dyDescent="0.25">
      <c r="A63">
        <v>60</v>
      </c>
      <c r="B63" t="s">
        <v>1478</v>
      </c>
      <c r="C63">
        <f>IFERROR(INDEX(Tabla6[AÑO],MATCH(B63,Tabla6[Alias],0)),"")</f>
        <v>2017</v>
      </c>
      <c r="D63">
        <f>IFERROR(INDEX(Tabla6[DECRETO],MATCH(B63,Tabla6[Alias],0)),"")</f>
        <v>418</v>
      </c>
      <c r="E63" s="6">
        <f>IFERROR(INDEX(Tabla6[Fecha de Promulgación],MATCH(B63,Tabla6[Alias],0)),"")</f>
        <v>42920</v>
      </c>
      <c r="F63">
        <f>IFERROR(INDEX(Tabla6[Tabla],MATCH(B63,Tabla6[Alias],0)),"")</f>
        <v>17</v>
      </c>
      <c r="G63" s="5" t="str">
        <f>IFERROR(INDEX(Tabla6[Sistema],MATCH(B63,Tabla6[Alias],0)),"")</f>
        <v>E</v>
      </c>
      <c r="H63" s="5" t="str">
        <f>IFERROR(INDEX(Tabla6[ID_OBRA],MATCH(B63,Tabla6[Alias],0)),"")</f>
        <v>17_418_Z_OA_60</v>
      </c>
      <c r="I63" t="str">
        <f>IFERROR(INDEX(Tabla6[Nombre Obra],MATCH(B63,Tabla6[Alias],0)),"")</f>
        <v>Ampliación en S/E Chiguayante</v>
      </c>
      <c r="J63" t="str">
        <f>IFERROR(INDEX(Tabla6[Segmento],MATCH(B63,Tabla6[Alias],0)),"")</f>
        <v>ZONAL</v>
      </c>
      <c r="K63">
        <f>IFERROR(INDEX(Tabla6[Region],MATCH(B63,Tabla6[Alias],0)),"")</f>
        <v>0</v>
      </c>
      <c r="L63" s="13" t="str">
        <f>IFERROR(INDEX(Tabla6[Tipo de Obra],MATCH(B63,Tabla6[Alias],0))," ")</f>
        <v>OA</v>
      </c>
      <c r="M63" s="13" t="str">
        <f>IFERROR(INDEX(Tabla6[Tipo de Obras],MATCH(B63,Tabla6[Alias],0))," ")</f>
        <v>S/E</v>
      </c>
      <c r="N63" s="13">
        <f>IFERROR(INDEX(Tabla6[Plazo constructivo],MATCH(B63,Tabla6[Alias],0))," ")</f>
        <v>24</v>
      </c>
      <c r="O63" s="14">
        <f>IFERROR(INDEX(Tabla6[Fecha EO],MATCH(B63,Tabla6[Alias],0))," ")</f>
        <v>43800</v>
      </c>
      <c r="P63" s="95">
        <f>IFERROR(INDEX(Tabla6[AVI REF],MATCH(B63,Tabla6[Alias],0))," ")</f>
        <v>46200</v>
      </c>
      <c r="Q63" s="95">
        <f>IFERROR(INDEX(Tabla6[COMA REF],MATCH(B63,Tabla6[Alias],0))," ")</f>
        <v>7300</v>
      </c>
      <c r="R63" s="95">
        <f>IFERROR(INDEX(Tabla6[VATT REF '[AVI + COMA']],MATCH(B63,Tabla6[Alias],0))," ")</f>
        <v>53500</v>
      </c>
      <c r="S63" t="str">
        <f>IFERROR(INDEX(Tabla6[Propietario],MATCH(B63,Tabla6[Alias],0))," ")</f>
        <v>CGE S.A.</v>
      </c>
      <c r="T63" t="s">
        <v>44</v>
      </c>
      <c r="U63" t="s">
        <v>85</v>
      </c>
      <c r="V63" s="143" t="s">
        <v>176</v>
      </c>
      <c r="W63" s="13" t="s">
        <v>155</v>
      </c>
      <c r="X63" s="13" t="s">
        <v>125</v>
      </c>
      <c r="Z63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1_PROC_OA_17_G17</v>
      </c>
      <c r="AA6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3" s="25" t="s">
        <v>268</v>
      </c>
      <c r="AC63" s="5"/>
      <c r="AD63" s="5"/>
      <c r="AE63" s="123" t="s">
        <v>166</v>
      </c>
      <c r="AF63" s="94" t="str">
        <f>IFERROR(INDEX(Tabla10[ID],MATCH(BASE_GRAL[[#This Row],[EMPRESA ADJUDICADA]],Tabla10[Alias],0)),"")</f>
        <v>PROP_08</v>
      </c>
      <c r="AG63" s="94">
        <v>43287</v>
      </c>
      <c r="AH63" s="95">
        <v>768217.68523513537</v>
      </c>
      <c r="AI63" s="5"/>
      <c r="AJ63" s="5">
        <v>0</v>
      </c>
      <c r="AK63">
        <f>+BASE_GRAL[[#This Row],[COMA ADJUDICADO]]+BASE_GRAL[[#This Row],[AVI ADJUDICADO]]</f>
        <v>0</v>
      </c>
      <c r="AL63" s="124" t="s">
        <v>1223</v>
      </c>
      <c r="AM63" s="13" t="s">
        <v>316</v>
      </c>
      <c r="AN63" s="94">
        <v>43673</v>
      </c>
    </row>
    <row r="64" spans="1:40" x14ac:dyDescent="0.25">
      <c r="A64">
        <v>61</v>
      </c>
      <c r="B64" t="s">
        <v>1479</v>
      </c>
      <c r="C64">
        <f>IFERROR(INDEX(Tabla6[AÑO],MATCH(B64,Tabla6[Alias],0)),"")</f>
        <v>2017</v>
      </c>
      <c r="D64">
        <f>IFERROR(INDEX(Tabla6[DECRETO],MATCH(B64,Tabla6[Alias],0)),"")</f>
        <v>418</v>
      </c>
      <c r="E64" s="6">
        <f>IFERROR(INDEX(Tabla6[Fecha de Promulgación],MATCH(B64,Tabla6[Alias],0)),"")</f>
        <v>42920</v>
      </c>
      <c r="F64">
        <f>IFERROR(INDEX(Tabla6[Tabla],MATCH(B64,Tabla6[Alias],0)),"")</f>
        <v>17</v>
      </c>
      <c r="G64" s="5" t="str">
        <f>IFERROR(INDEX(Tabla6[Sistema],MATCH(B64,Tabla6[Alias],0)),"")</f>
        <v>E</v>
      </c>
      <c r="H64" s="5" t="str">
        <f>IFERROR(INDEX(Tabla6[ID_OBRA],MATCH(B64,Tabla6[Alias],0)),"")</f>
        <v>17_418_Z_OA_61</v>
      </c>
      <c r="I64" t="str">
        <f>IFERROR(INDEX(Tabla6[Nombre Obra],MATCH(B64,Tabla6[Alias],0)),"")</f>
        <v>Ampliación en S/E Ejercito</v>
      </c>
      <c r="J64" t="str">
        <f>IFERROR(INDEX(Tabla6[Segmento],MATCH(B64,Tabla6[Alias],0)),"")</f>
        <v>ZONAL</v>
      </c>
      <c r="K64">
        <f>IFERROR(INDEX(Tabla6[Region],MATCH(B64,Tabla6[Alias],0)),"")</f>
        <v>0</v>
      </c>
      <c r="L64" s="13" t="str">
        <f>IFERROR(INDEX(Tabla6[Tipo de Obra],MATCH(B64,Tabla6[Alias],0))," ")</f>
        <v>OA</v>
      </c>
      <c r="M64" s="13" t="str">
        <f>IFERROR(INDEX(Tabla6[Tipo de Obras],MATCH(B64,Tabla6[Alias],0))," ")</f>
        <v>S/E</v>
      </c>
      <c r="N64" s="13">
        <f>IFERROR(INDEX(Tabla6[Plazo constructivo],MATCH(B64,Tabla6[Alias],0))," ")</f>
        <v>18</v>
      </c>
      <c r="O64" s="14">
        <f>IFERROR(INDEX(Tabla6[Fecha EO],MATCH(B64,Tabla6[Alias],0))," ")</f>
        <v>43617</v>
      </c>
      <c r="P64" s="95">
        <f>IFERROR(INDEX(Tabla6[AVI REF],MATCH(B64,Tabla6[Alias],0))," ")</f>
        <v>524800</v>
      </c>
      <c r="Q64" s="95">
        <f>IFERROR(INDEX(Tabla6[COMA REF],MATCH(B64,Tabla6[Alias],0))," ")</f>
        <v>83300</v>
      </c>
      <c r="R64" s="95">
        <f>IFERROR(INDEX(Tabla6[VATT REF '[AVI + COMA']],MATCH(B64,Tabla6[Alias],0))," ")</f>
        <v>608100</v>
      </c>
      <c r="S64" t="str">
        <f>IFERROR(INDEX(Tabla6[Propietario],MATCH(B64,Tabla6[Alias],0))," ")</f>
        <v>CGE S.A.</v>
      </c>
      <c r="T64" t="s">
        <v>44</v>
      </c>
      <c r="U64" t="s">
        <v>95</v>
      </c>
      <c r="V64" s="143" t="s">
        <v>176</v>
      </c>
      <c r="W64" s="13" t="s">
        <v>155</v>
      </c>
      <c r="X64" s="13" t="s">
        <v>125</v>
      </c>
      <c r="Z64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1_PROC_OA_17_G17</v>
      </c>
      <c r="AA6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4" s="25" t="s">
        <v>269</v>
      </c>
      <c r="AC64" s="5"/>
      <c r="AD64" s="5"/>
      <c r="AE64" s="123" t="s">
        <v>166</v>
      </c>
      <c r="AF64" s="94" t="str">
        <f>IFERROR(INDEX(Tabla10[ID],MATCH(BASE_GRAL[[#This Row],[EMPRESA ADJUDICADA]],Tabla10[Alias],0)),"")</f>
        <v>PROP_08</v>
      </c>
      <c r="AG64" s="94">
        <v>43287</v>
      </c>
      <c r="AH64" s="95">
        <v>8726420.8054415379</v>
      </c>
      <c r="AI64" s="5"/>
      <c r="AJ64" s="5">
        <v>0</v>
      </c>
      <c r="AK64">
        <f>+BASE_GRAL[[#This Row],[COMA ADJUDICADO]]+BASE_GRAL[[#This Row],[AVI ADJUDICADO]]</f>
        <v>0</v>
      </c>
      <c r="AL64" s="124" t="s">
        <v>1223</v>
      </c>
      <c r="AM64" s="13" t="s">
        <v>316</v>
      </c>
      <c r="AN64" s="94">
        <v>43673</v>
      </c>
    </row>
    <row r="65" spans="1:40" x14ac:dyDescent="0.25">
      <c r="A65">
        <v>62</v>
      </c>
      <c r="B65" t="s">
        <v>1480</v>
      </c>
      <c r="C65">
        <f>IFERROR(INDEX(Tabla6[AÑO],MATCH(B65,Tabla6[Alias],0)),"")</f>
        <v>2017</v>
      </c>
      <c r="D65">
        <f>IFERROR(INDEX(Tabla6[DECRETO],MATCH(B65,Tabla6[Alias],0)),"")</f>
        <v>418</v>
      </c>
      <c r="E65" s="6">
        <f>IFERROR(INDEX(Tabla6[Fecha de Promulgación],MATCH(B65,Tabla6[Alias],0)),"")</f>
        <v>42920</v>
      </c>
      <c r="F65">
        <f>IFERROR(INDEX(Tabla6[Tabla],MATCH(B65,Tabla6[Alias],0)),"")</f>
        <v>17</v>
      </c>
      <c r="G65" s="5" t="str">
        <f>IFERROR(INDEX(Tabla6[Sistema],MATCH(B65,Tabla6[Alias],0)),"")</f>
        <v>E</v>
      </c>
      <c r="H65" s="5" t="str">
        <f>IFERROR(INDEX(Tabla6[ID_OBRA],MATCH(B65,Tabla6[Alias],0)),"")</f>
        <v>17_418_Z_OA_62</v>
      </c>
      <c r="I65" t="str">
        <f>IFERROR(INDEX(Tabla6[Nombre Obra],MATCH(B65,Tabla6[Alias],0)),"")</f>
        <v>Ampliación en S/E Pitrufquén</v>
      </c>
      <c r="J65" t="str">
        <f>IFERROR(INDEX(Tabla6[Segmento],MATCH(B65,Tabla6[Alias],0)),"")</f>
        <v>ZONAL</v>
      </c>
      <c r="K65">
        <f>IFERROR(INDEX(Tabla6[Region],MATCH(B65,Tabla6[Alias],0)),"")</f>
        <v>0</v>
      </c>
      <c r="L65" s="13" t="str">
        <f>IFERROR(INDEX(Tabla6[Tipo de Obra],MATCH(B65,Tabla6[Alias],0))," ")</f>
        <v>OA</v>
      </c>
      <c r="M65" s="13" t="str">
        <f>IFERROR(INDEX(Tabla6[Tipo de Obras],MATCH(B65,Tabla6[Alias],0))," ")</f>
        <v>S/E</v>
      </c>
      <c r="N65" s="13">
        <f>IFERROR(INDEX(Tabla6[Plazo constructivo],MATCH(B65,Tabla6[Alias],0))," ")</f>
        <v>24</v>
      </c>
      <c r="O65" s="14">
        <f>IFERROR(INDEX(Tabla6[Fecha EO],MATCH(B65,Tabla6[Alias],0))," ")</f>
        <v>43800</v>
      </c>
      <c r="P65" s="95">
        <f>IFERROR(INDEX(Tabla6[AVI REF],MATCH(B65,Tabla6[Alias],0))," ")</f>
        <v>477800</v>
      </c>
      <c r="Q65" s="95">
        <f>IFERROR(INDEX(Tabla6[COMA REF],MATCH(B65,Tabla6[Alias],0))," ")</f>
        <v>75800</v>
      </c>
      <c r="R65" s="95">
        <f>IFERROR(INDEX(Tabla6[VATT REF '[AVI + COMA']],MATCH(B65,Tabla6[Alias],0))," ")</f>
        <v>553600</v>
      </c>
      <c r="S65" t="str">
        <f>IFERROR(INDEX(Tabla6[Propietario],MATCH(B65,Tabla6[Alias],0))," ")</f>
        <v>CGE S.A.</v>
      </c>
      <c r="T65" t="s">
        <v>44</v>
      </c>
      <c r="U65" t="s">
        <v>96</v>
      </c>
      <c r="V65" s="143" t="s">
        <v>176</v>
      </c>
      <c r="W65" s="13" t="s">
        <v>155</v>
      </c>
      <c r="X65" s="13" t="s">
        <v>126</v>
      </c>
      <c r="Z65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1_PROC_OA_17_G18</v>
      </c>
      <c r="AA6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5" s="25" t="s">
        <v>270</v>
      </c>
      <c r="AC65" s="5"/>
      <c r="AD65" s="5"/>
      <c r="AE65" s="132" t="s">
        <v>317</v>
      </c>
      <c r="AF65" s="94" t="str">
        <f>IFERROR(INDEX(Tabla10[ID],MATCH(BASE_GRAL[[#This Row],[EMPRESA ADJUDICADA]],Tabla10[Alias],0)),"")</f>
        <v/>
      </c>
      <c r="AG65" s="13" t="s">
        <v>317</v>
      </c>
      <c r="AH65" s="13" t="s">
        <v>317</v>
      </c>
      <c r="AI65" s="5"/>
      <c r="AJ65" s="5">
        <v>0</v>
      </c>
      <c r="AK65">
        <f>+BASE_GRAL[[#This Row],[COMA ADJUDICADO]]+BASE_GRAL[[#This Row],[AVI ADJUDICADO]]</f>
        <v>0</v>
      </c>
      <c r="AL65" s="126" t="s">
        <v>1231</v>
      </c>
      <c r="AM65" s="13" t="s">
        <v>317</v>
      </c>
      <c r="AN65" s="94" t="s">
        <v>317</v>
      </c>
    </row>
    <row r="66" spans="1:40" x14ac:dyDescent="0.25">
      <c r="A66">
        <v>63</v>
      </c>
      <c r="B66" t="s">
        <v>1481</v>
      </c>
      <c r="C66">
        <f>IFERROR(INDEX(Tabla6[AÑO],MATCH(B66,Tabla6[Alias],0)),"")</f>
        <v>2017</v>
      </c>
      <c r="D66">
        <f>IFERROR(INDEX(Tabla6[DECRETO],MATCH(B66,Tabla6[Alias],0)),"")</f>
        <v>418</v>
      </c>
      <c r="E66" s="6">
        <f>IFERROR(INDEX(Tabla6[Fecha de Promulgación],MATCH(B66,Tabla6[Alias],0)),"")</f>
        <v>42920</v>
      </c>
      <c r="F66">
        <f>IFERROR(INDEX(Tabla6[Tabla],MATCH(B66,Tabla6[Alias],0)),"")</f>
        <v>17</v>
      </c>
      <c r="G66" s="5" t="str">
        <f>IFERROR(INDEX(Tabla6[Sistema],MATCH(B66,Tabla6[Alias],0)),"")</f>
        <v>E</v>
      </c>
      <c r="H66" s="5" t="str">
        <f>IFERROR(INDEX(Tabla6[ID_OBRA],MATCH(B66,Tabla6[Alias],0)),"")</f>
        <v>17_418_Z_OA_63</v>
      </c>
      <c r="I66" t="str">
        <f>IFERROR(INDEX(Tabla6[Nombre Obra],MATCH(B66,Tabla6[Alias],0)),"")</f>
        <v>Ampliación en S/E Curacautín</v>
      </c>
      <c r="J66" t="str">
        <f>IFERROR(INDEX(Tabla6[Segmento],MATCH(B66,Tabla6[Alias],0)),"")</f>
        <v>ZONAL</v>
      </c>
      <c r="K66">
        <f>IFERROR(INDEX(Tabla6[Region],MATCH(B66,Tabla6[Alias],0)),"")</f>
        <v>0</v>
      </c>
      <c r="L66" s="13" t="str">
        <f>IFERROR(INDEX(Tabla6[Tipo de Obra],MATCH(B66,Tabla6[Alias],0))," ")</f>
        <v>OA</v>
      </c>
      <c r="M66" s="13" t="str">
        <f>IFERROR(INDEX(Tabla6[Tipo de Obras],MATCH(B66,Tabla6[Alias],0))," ")</f>
        <v>S/E</v>
      </c>
      <c r="N66" s="13">
        <f>IFERROR(INDEX(Tabla6[Plazo constructivo],MATCH(B66,Tabla6[Alias],0))," ")</f>
        <v>18</v>
      </c>
      <c r="O66" s="14">
        <f>IFERROR(INDEX(Tabla6[Fecha EO],MATCH(B66,Tabla6[Alias],0))," ")</f>
        <v>43617</v>
      </c>
      <c r="P66" s="95">
        <f>IFERROR(INDEX(Tabla6[AVI REF],MATCH(B66,Tabla6[Alias],0))," ")</f>
        <v>197500</v>
      </c>
      <c r="Q66" s="95">
        <f>IFERROR(INDEX(Tabla6[COMA REF],MATCH(B66,Tabla6[Alias],0))," ")</f>
        <v>31300</v>
      </c>
      <c r="R66" s="95">
        <f>IFERROR(INDEX(Tabla6[VATT REF '[AVI + COMA']],MATCH(B66,Tabla6[Alias],0))," ")</f>
        <v>228800</v>
      </c>
      <c r="S66" t="str">
        <f>IFERROR(INDEX(Tabla6[Propietario],MATCH(B66,Tabla6[Alias],0))," ")</f>
        <v>CGE S.A.</v>
      </c>
      <c r="T66" t="s">
        <v>44</v>
      </c>
      <c r="U66" t="s">
        <v>77</v>
      </c>
      <c r="V66" s="143" t="s">
        <v>176</v>
      </c>
      <c r="W66" s="13" t="s">
        <v>155</v>
      </c>
      <c r="X66" s="13" t="s">
        <v>126</v>
      </c>
      <c r="Z66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1_PROC_OA_17_G18</v>
      </c>
      <c r="AA6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6" s="25" t="s">
        <v>271</v>
      </c>
      <c r="AC66" s="5"/>
      <c r="AD66" s="5"/>
      <c r="AE66" s="132" t="s">
        <v>317</v>
      </c>
      <c r="AF66" s="94" t="str">
        <f>IFERROR(INDEX(Tabla10[ID],MATCH(BASE_GRAL[[#This Row],[EMPRESA ADJUDICADA]],Tabla10[Alias],0)),"")</f>
        <v/>
      </c>
      <c r="AG66" s="13" t="s">
        <v>317</v>
      </c>
      <c r="AH66" s="13" t="s">
        <v>317</v>
      </c>
      <c r="AI66" s="5"/>
      <c r="AJ66" s="5">
        <v>0</v>
      </c>
      <c r="AK66">
        <f>+BASE_GRAL[[#This Row],[COMA ADJUDICADO]]+BASE_GRAL[[#This Row],[AVI ADJUDICADO]]</f>
        <v>0</v>
      </c>
      <c r="AL66" s="126" t="s">
        <v>1231</v>
      </c>
      <c r="AM66" s="13" t="s">
        <v>317</v>
      </c>
      <c r="AN66" s="94" t="s">
        <v>317</v>
      </c>
    </row>
    <row r="67" spans="1:40" x14ac:dyDescent="0.25">
      <c r="A67">
        <v>64</v>
      </c>
      <c r="B67" t="s">
        <v>1482</v>
      </c>
      <c r="C67">
        <f>IFERROR(INDEX(Tabla6[AÑO],MATCH(B67,Tabla6[Alias],0)),"")</f>
        <v>2017</v>
      </c>
      <c r="D67">
        <f>IFERROR(INDEX(Tabla6[DECRETO],MATCH(B67,Tabla6[Alias],0)),"")</f>
        <v>418</v>
      </c>
      <c r="E67" s="6">
        <f>IFERROR(INDEX(Tabla6[Fecha de Promulgación],MATCH(B67,Tabla6[Alias],0)),"")</f>
        <v>42920</v>
      </c>
      <c r="F67">
        <f>IFERROR(INDEX(Tabla6[Tabla],MATCH(B67,Tabla6[Alias],0)),"")</f>
        <v>17</v>
      </c>
      <c r="G67" s="5" t="str">
        <f>IFERROR(INDEX(Tabla6[Sistema],MATCH(B67,Tabla6[Alias],0)),"")</f>
        <v>E</v>
      </c>
      <c r="H67" s="5" t="str">
        <f>IFERROR(INDEX(Tabla6[ID_OBRA],MATCH(B67,Tabla6[Alias],0)),"")</f>
        <v>17_418_Z_OA_64</v>
      </c>
      <c r="I67" t="str">
        <f>IFERROR(INDEX(Tabla6[Nombre Obra],MATCH(B67,Tabla6[Alias],0)),"")</f>
        <v>Ampliación en S/E Collipulli</v>
      </c>
      <c r="J67" t="str">
        <f>IFERROR(INDEX(Tabla6[Segmento],MATCH(B67,Tabla6[Alias],0)),"")</f>
        <v>ZONAL</v>
      </c>
      <c r="K67">
        <f>IFERROR(INDEX(Tabla6[Region],MATCH(B67,Tabla6[Alias],0)),"")</f>
        <v>0</v>
      </c>
      <c r="L67" s="13" t="str">
        <f>IFERROR(INDEX(Tabla6[Tipo de Obra],MATCH(B67,Tabla6[Alias],0))," ")</f>
        <v>OA</v>
      </c>
      <c r="M67" s="13" t="str">
        <f>IFERROR(INDEX(Tabla6[Tipo de Obras],MATCH(B67,Tabla6[Alias],0))," ")</f>
        <v>S/E</v>
      </c>
      <c r="N67" s="13">
        <f>IFERROR(INDEX(Tabla6[Plazo constructivo],MATCH(B67,Tabla6[Alias],0))," ")</f>
        <v>18</v>
      </c>
      <c r="O67" s="14">
        <f>IFERROR(INDEX(Tabla6[Fecha EO],MATCH(B67,Tabla6[Alias],0))," ")</f>
        <v>43617</v>
      </c>
      <c r="P67" s="95">
        <f>IFERROR(INDEX(Tabla6[AVI REF],MATCH(B67,Tabla6[Alias],0))," ")</f>
        <v>148800</v>
      </c>
      <c r="Q67" s="95">
        <f>IFERROR(INDEX(Tabla6[COMA REF],MATCH(B67,Tabla6[Alias],0))," ")</f>
        <v>23600</v>
      </c>
      <c r="R67" s="95">
        <f>IFERROR(INDEX(Tabla6[VATT REF '[AVI + COMA']],MATCH(B67,Tabla6[Alias],0))," ")</f>
        <v>172400</v>
      </c>
      <c r="S67" t="str">
        <f>IFERROR(INDEX(Tabla6[Propietario],MATCH(B67,Tabla6[Alias],0))," ")</f>
        <v>CGE S.A.</v>
      </c>
      <c r="T67" t="s">
        <v>44</v>
      </c>
      <c r="U67" t="s">
        <v>79</v>
      </c>
      <c r="V67" s="143" t="s">
        <v>176</v>
      </c>
      <c r="W67" s="13" t="s">
        <v>155</v>
      </c>
      <c r="X67" s="13" t="s">
        <v>126</v>
      </c>
      <c r="Z67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1_PROC_OA_17_G18</v>
      </c>
      <c r="AA6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7" s="25" t="s">
        <v>272</v>
      </c>
      <c r="AC67" s="5"/>
      <c r="AD67" s="5"/>
      <c r="AE67" s="132" t="s">
        <v>317</v>
      </c>
      <c r="AF67" s="94" t="str">
        <f>IFERROR(INDEX(Tabla10[ID],MATCH(BASE_GRAL[[#This Row],[EMPRESA ADJUDICADA]],Tabla10[Alias],0)),"")</f>
        <v/>
      </c>
      <c r="AG67" s="13" t="s">
        <v>317</v>
      </c>
      <c r="AH67" s="13" t="s">
        <v>317</v>
      </c>
      <c r="AI67" s="5"/>
      <c r="AJ67" s="5">
        <v>0</v>
      </c>
      <c r="AK67">
        <f>+BASE_GRAL[[#This Row],[COMA ADJUDICADO]]+BASE_GRAL[[#This Row],[AVI ADJUDICADO]]</f>
        <v>0</v>
      </c>
      <c r="AL67" s="126" t="s">
        <v>1231</v>
      </c>
      <c r="AM67" s="13" t="s">
        <v>317</v>
      </c>
      <c r="AN67" s="94" t="s">
        <v>317</v>
      </c>
    </row>
    <row r="68" spans="1:40" x14ac:dyDescent="0.25">
      <c r="A68">
        <v>65</v>
      </c>
      <c r="B68" t="s">
        <v>1483</v>
      </c>
      <c r="C68">
        <f>IFERROR(INDEX(Tabla6[AÑO],MATCH(B68,Tabla6[Alias],0)),"")</f>
        <v>2017</v>
      </c>
      <c r="D68">
        <f>IFERROR(INDEX(Tabla6[DECRETO],MATCH(B68,Tabla6[Alias],0)),"")</f>
        <v>418</v>
      </c>
      <c r="E68" s="6">
        <f>IFERROR(INDEX(Tabla6[Fecha de Promulgación],MATCH(B68,Tabla6[Alias],0)),"")</f>
        <v>42920</v>
      </c>
      <c r="F68">
        <f>IFERROR(INDEX(Tabla6[Tabla],MATCH(B68,Tabla6[Alias],0)),"")</f>
        <v>17</v>
      </c>
      <c r="G68" s="5" t="str">
        <f>IFERROR(INDEX(Tabla6[Sistema],MATCH(B68,Tabla6[Alias],0)),"")</f>
        <v>E</v>
      </c>
      <c r="H68" s="5" t="str">
        <f>IFERROR(INDEX(Tabla6[ID_OBRA],MATCH(B68,Tabla6[Alias],0)),"")</f>
        <v>17_418_Z_OA_65</v>
      </c>
      <c r="I68" t="str">
        <f>IFERROR(INDEX(Tabla6[Nombre Obra],MATCH(B68,Tabla6[Alias],0)),"")</f>
        <v>Ampliación en S/E Lautaro</v>
      </c>
      <c r="J68" t="str">
        <f>IFERROR(INDEX(Tabla6[Segmento],MATCH(B68,Tabla6[Alias],0)),"")</f>
        <v>ZONAL</v>
      </c>
      <c r="K68">
        <f>IFERROR(INDEX(Tabla6[Region],MATCH(B68,Tabla6[Alias],0)),"")</f>
        <v>0</v>
      </c>
      <c r="L68" s="13" t="str">
        <f>IFERROR(INDEX(Tabla6[Tipo de Obra],MATCH(B68,Tabla6[Alias],0))," ")</f>
        <v>OA</v>
      </c>
      <c r="M68" s="13" t="str">
        <f>IFERROR(INDEX(Tabla6[Tipo de Obras],MATCH(B68,Tabla6[Alias],0))," ")</f>
        <v>S/E</v>
      </c>
      <c r="N68" s="13">
        <f>IFERROR(INDEX(Tabla6[Plazo constructivo],MATCH(B68,Tabla6[Alias],0))," ")</f>
        <v>18</v>
      </c>
      <c r="O68" s="14">
        <f>IFERROR(INDEX(Tabla6[Fecha EO],MATCH(B68,Tabla6[Alias],0))," ")</f>
        <v>43617</v>
      </c>
      <c r="P68" s="95">
        <f>IFERROR(INDEX(Tabla6[AVI REF],MATCH(B68,Tabla6[Alias],0))," ")</f>
        <v>173200</v>
      </c>
      <c r="Q68" s="95">
        <f>IFERROR(INDEX(Tabla6[COMA REF],MATCH(B68,Tabla6[Alias],0))," ")</f>
        <v>27500</v>
      </c>
      <c r="R68" s="95">
        <f>IFERROR(INDEX(Tabla6[VATT REF '[AVI + COMA']],MATCH(B68,Tabla6[Alias],0))," ")</f>
        <v>200700</v>
      </c>
      <c r="S68" t="str">
        <f>IFERROR(INDEX(Tabla6[Propietario],MATCH(B68,Tabla6[Alias],0))," ")</f>
        <v>CGE S.A.</v>
      </c>
      <c r="T68" t="s">
        <v>44</v>
      </c>
      <c r="U68" t="s">
        <v>80</v>
      </c>
      <c r="V68" s="143" t="s">
        <v>176</v>
      </c>
      <c r="W68" s="13" t="s">
        <v>155</v>
      </c>
      <c r="X68" s="13" t="s">
        <v>127</v>
      </c>
      <c r="Z68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1_PROC_OA_17_G19</v>
      </c>
      <c r="AA6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8" s="25" t="s">
        <v>273</v>
      </c>
      <c r="AC68"/>
      <c r="AD68"/>
      <c r="AE68" s="132" t="s">
        <v>317</v>
      </c>
      <c r="AF68" s="94" t="str">
        <f>IFERROR(INDEX(Tabla10[ID],MATCH(BASE_GRAL[[#This Row],[EMPRESA ADJUDICADA]],Tabla10[Alias],0)),"")</f>
        <v/>
      </c>
      <c r="AG68" s="13" t="s">
        <v>317</v>
      </c>
      <c r="AH68" s="13" t="s">
        <v>317</v>
      </c>
      <c r="AI68"/>
      <c r="AK68">
        <f>+BASE_GRAL[[#This Row],[COMA ADJUDICADO]]+BASE_GRAL[[#This Row],[AVI ADJUDICADO]]</f>
        <v>0</v>
      </c>
      <c r="AL68" s="96" t="s">
        <v>1224</v>
      </c>
      <c r="AM68" s="13" t="s">
        <v>317</v>
      </c>
      <c r="AN68" s="94" t="s">
        <v>317</v>
      </c>
    </row>
    <row r="69" spans="1:40" x14ac:dyDescent="0.25">
      <c r="A69">
        <v>66</v>
      </c>
      <c r="B69" t="s">
        <v>1484</v>
      </c>
      <c r="C69">
        <f>IFERROR(INDEX(Tabla6[AÑO],MATCH(B69,Tabla6[Alias],0)),"")</f>
        <v>2017</v>
      </c>
      <c r="D69">
        <f>IFERROR(INDEX(Tabla6[DECRETO],MATCH(B69,Tabla6[Alias],0)),"")</f>
        <v>418</v>
      </c>
      <c r="E69" s="6">
        <f>IFERROR(INDEX(Tabla6[Fecha de Promulgación],MATCH(B69,Tabla6[Alias],0)),"")</f>
        <v>42920</v>
      </c>
      <c r="F69">
        <f>IFERROR(INDEX(Tabla6[Tabla],MATCH(B69,Tabla6[Alias],0)),"")</f>
        <v>17</v>
      </c>
      <c r="G69" s="5" t="str">
        <f>IFERROR(INDEX(Tabla6[Sistema],MATCH(B69,Tabla6[Alias],0)),"")</f>
        <v>E</v>
      </c>
      <c r="H69" s="5" t="str">
        <f>IFERROR(INDEX(Tabla6[ID_OBRA],MATCH(B69,Tabla6[Alias],0)),"")</f>
        <v>17_418_Z_OA_66</v>
      </c>
      <c r="I69" t="str">
        <f>IFERROR(INDEX(Tabla6[Nombre Obra],MATCH(B69,Tabla6[Alias],0)),"")</f>
        <v>Ampliación en S/E Padre las Casas</v>
      </c>
      <c r="J69" t="str">
        <f>IFERROR(INDEX(Tabla6[Segmento],MATCH(B69,Tabla6[Alias],0)),"")</f>
        <v>ZONAL</v>
      </c>
      <c r="K69">
        <f>IFERROR(INDEX(Tabla6[Region],MATCH(B69,Tabla6[Alias],0)),"")</f>
        <v>0</v>
      </c>
      <c r="L69" s="13" t="str">
        <f>IFERROR(INDEX(Tabla6[Tipo de Obra],MATCH(B69,Tabla6[Alias],0))," ")</f>
        <v>OA</v>
      </c>
      <c r="M69" s="13" t="str">
        <f>IFERROR(INDEX(Tabla6[Tipo de Obras],MATCH(B69,Tabla6[Alias],0))," ")</f>
        <v>S/E</v>
      </c>
      <c r="N69" s="13">
        <f>IFERROR(INDEX(Tabla6[Plazo constructivo],MATCH(B69,Tabla6[Alias],0))," ")</f>
        <v>24</v>
      </c>
      <c r="O69" s="14">
        <f>IFERROR(INDEX(Tabla6[Fecha EO],MATCH(B69,Tabla6[Alias],0))," ")</f>
        <v>43800</v>
      </c>
      <c r="P69" s="95">
        <f>IFERROR(INDEX(Tabla6[AVI REF],MATCH(B69,Tabla6[Alias],0))," ")</f>
        <v>532600</v>
      </c>
      <c r="Q69" s="95">
        <f>IFERROR(INDEX(Tabla6[COMA REF],MATCH(B69,Tabla6[Alias],0))," ")</f>
        <v>84500</v>
      </c>
      <c r="R69" s="95">
        <f>IFERROR(INDEX(Tabla6[VATT REF '[AVI + COMA']],MATCH(B69,Tabla6[Alias],0))," ")</f>
        <v>617100</v>
      </c>
      <c r="S69" t="str">
        <f>IFERROR(INDEX(Tabla6[Propietario],MATCH(B69,Tabla6[Alias],0))," ")</f>
        <v>CGE S.A.</v>
      </c>
      <c r="T69" t="s">
        <v>44</v>
      </c>
      <c r="U69" t="s">
        <v>97</v>
      </c>
      <c r="V69" s="143" t="s">
        <v>176</v>
      </c>
      <c r="W69" s="13" t="s">
        <v>155</v>
      </c>
      <c r="X69" s="13" t="s">
        <v>127</v>
      </c>
      <c r="Z69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1_PROC_OA_17_G19</v>
      </c>
      <c r="AA6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69" s="25" t="s">
        <v>274</v>
      </c>
      <c r="AC69"/>
      <c r="AD69"/>
      <c r="AE69" s="132" t="s">
        <v>317</v>
      </c>
      <c r="AF69" s="94" t="str">
        <f>IFERROR(INDEX(Tabla10[ID],MATCH(BASE_GRAL[[#This Row],[EMPRESA ADJUDICADA]],Tabla10[Alias],0)),"")</f>
        <v/>
      </c>
      <c r="AG69" s="13" t="s">
        <v>317</v>
      </c>
      <c r="AH69" s="13" t="s">
        <v>317</v>
      </c>
      <c r="AI69"/>
      <c r="AK69">
        <f>+BASE_GRAL[[#This Row],[COMA ADJUDICADO]]+BASE_GRAL[[#This Row],[AVI ADJUDICADO]]</f>
        <v>0</v>
      </c>
      <c r="AL69" s="96" t="s">
        <v>1224</v>
      </c>
      <c r="AM69" s="13" t="s">
        <v>317</v>
      </c>
      <c r="AN69" s="94" t="s">
        <v>317</v>
      </c>
    </row>
    <row r="70" spans="1:40" x14ac:dyDescent="0.25">
      <c r="A70">
        <v>67</v>
      </c>
      <c r="B70" t="s">
        <v>1485</v>
      </c>
      <c r="C70">
        <f>IFERROR(INDEX(Tabla6[AÑO],MATCH(B70,Tabla6[Alias],0)),"")</f>
        <v>2017</v>
      </c>
      <c r="D70">
        <f>IFERROR(INDEX(Tabla6[DECRETO],MATCH(B70,Tabla6[Alias],0)),"")</f>
        <v>418</v>
      </c>
      <c r="E70" s="6">
        <f>IFERROR(INDEX(Tabla6[Fecha de Promulgación],MATCH(B70,Tabla6[Alias],0)),"")</f>
        <v>42920</v>
      </c>
      <c r="F70">
        <f>IFERROR(INDEX(Tabla6[Tabla],MATCH(B70,Tabla6[Alias],0)),"")</f>
        <v>18</v>
      </c>
      <c r="G70" s="5" t="str">
        <f>IFERROR(INDEX(Tabla6[Sistema],MATCH(B70,Tabla6[Alias],0)),"")</f>
        <v>F</v>
      </c>
      <c r="H70" s="5" t="str">
        <f>IFERROR(INDEX(Tabla6[ID_OBRA],MATCH(B70,Tabla6[Alias],0)),"")</f>
        <v>17_418_Z_OA_67</v>
      </c>
      <c r="I70" t="str">
        <f>IFERROR(INDEX(Tabla6[Nombre Obra],MATCH(B70,Tabla6[Alias],0)),"")</f>
        <v>Ampliación en S/E Nueva Valdivia</v>
      </c>
      <c r="J70" t="str">
        <f>IFERROR(INDEX(Tabla6[Segmento],MATCH(B70,Tabla6[Alias],0)),"")</f>
        <v>ZONAL</v>
      </c>
      <c r="K70">
        <f>IFERROR(INDEX(Tabla6[Region],MATCH(B70,Tabla6[Alias],0)),"")</f>
        <v>0</v>
      </c>
      <c r="L70" s="13" t="str">
        <f>IFERROR(INDEX(Tabla6[Tipo de Obra],MATCH(B70,Tabla6[Alias],0))," ")</f>
        <v>OA</v>
      </c>
      <c r="M70" s="13" t="str">
        <f>IFERROR(INDEX(Tabla6[Tipo de Obras],MATCH(B70,Tabla6[Alias],0))," ")</f>
        <v>S/E</v>
      </c>
      <c r="N70" s="13">
        <f>IFERROR(INDEX(Tabla6[Plazo constructivo],MATCH(B70,Tabla6[Alias],0))," ")</f>
        <v>36</v>
      </c>
      <c r="O70" s="14">
        <f>IFERROR(INDEX(Tabla6[Fecha EO],MATCH(B70,Tabla6[Alias],0))," ")</f>
        <v>44166</v>
      </c>
      <c r="P70" s="95">
        <f>IFERROR(INDEX(Tabla6[AVI REF],MATCH(B70,Tabla6[Alias],0))," ")</f>
        <v>715700</v>
      </c>
      <c r="Q70" s="95">
        <f>IFERROR(INDEX(Tabla6[COMA REF],MATCH(B70,Tabla6[Alias],0))," ")</f>
        <v>113500</v>
      </c>
      <c r="R70" s="95">
        <f>IFERROR(INDEX(Tabla6[VATT REF '[AVI + COMA']],MATCH(B70,Tabla6[Alias],0))," ")</f>
        <v>829200</v>
      </c>
      <c r="S70" t="str">
        <f>IFERROR(INDEX(Tabla6[Propietario],MATCH(B70,Tabla6[Alias],0))," ")</f>
        <v>CGE S.A.</v>
      </c>
      <c r="T70" t="s">
        <v>44</v>
      </c>
      <c r="U70" t="s">
        <v>101</v>
      </c>
      <c r="V70" s="143" t="s">
        <v>176</v>
      </c>
      <c r="W70" s="13" t="s">
        <v>155</v>
      </c>
      <c r="X70" s="13" t="s">
        <v>128</v>
      </c>
      <c r="Z70" s="106" t="str">
        <f>CONCATENATE(LEFT(BASE_GRAL[[#This Row],[Proceso '[AÑO + DECRETO']]],2),MID(BASE_GRAL[[#This Row],[Proceso '[AÑO + DECRETO']]],3,4),RIGHT(BASE_GRAL[[#This Row],[Proceso '[AÑO + DECRETO']]],6),"_",BASE_GRAL[[#This Row],[Grupo]])</f>
        <v>1_PROC_OA_17_G20</v>
      </c>
      <c r="AA7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0" s="25" t="s">
        <v>275</v>
      </c>
      <c r="AC70"/>
      <c r="AD70"/>
      <c r="AE70" s="132" t="s">
        <v>317</v>
      </c>
      <c r="AF70" s="94" t="str">
        <f>IFERROR(INDEX(Tabla10[ID],MATCH(BASE_GRAL[[#This Row],[EMPRESA ADJUDICADA]],Tabla10[Alias],0)),"")</f>
        <v/>
      </c>
      <c r="AG70" s="13" t="s">
        <v>317</v>
      </c>
      <c r="AH70" s="13" t="s">
        <v>317</v>
      </c>
      <c r="AI70"/>
      <c r="AK70">
        <f>+BASE_GRAL[[#This Row],[COMA ADJUDICADO]]+BASE_GRAL[[#This Row],[AVI ADJUDICADO]]</f>
        <v>0</v>
      </c>
      <c r="AL70" s="125" t="s">
        <v>1230</v>
      </c>
      <c r="AM70" s="13" t="s">
        <v>317</v>
      </c>
      <c r="AN70" s="94" t="s">
        <v>317</v>
      </c>
    </row>
    <row r="71" spans="1:40" x14ac:dyDescent="0.25">
      <c r="A71">
        <v>69</v>
      </c>
      <c r="B71" t="s">
        <v>1421</v>
      </c>
      <c r="C71">
        <f>IFERROR(INDEX(Tabla6[AÑO],MATCH(B71,Tabla6[Alias],0)),"")</f>
        <v>2017</v>
      </c>
      <c r="D71">
        <f>IFERROR(INDEX(Tabla6[DECRETO],MATCH(B71,Tabla6[Alias],0)),"")</f>
        <v>418</v>
      </c>
      <c r="E71" s="6">
        <f>IFERROR(INDEX(Tabla6[Fecha de Promulgación],MATCH(B71,Tabla6[Alias],0)),"")</f>
        <v>42920</v>
      </c>
      <c r="F71">
        <f>IFERROR(INDEX(Tabla6[Tabla],MATCH(B71,Tabla6[Alias],0)),"")</f>
        <v>13</v>
      </c>
      <c r="G71" s="5" t="str">
        <f>IFERROR(INDEX(Tabla6[Sistema],MATCH(B71,Tabla6[Alias],0)),"")</f>
        <v>A</v>
      </c>
      <c r="H71" s="5" t="str">
        <f>IFERROR(INDEX(Tabla6[ID_OBRA],MATCH(B71,Tabla6[Alias],0)),"")</f>
        <v>17_418_Z_OA_03</v>
      </c>
      <c r="I71" t="str">
        <f>IFERROR(INDEX(Tabla6[Nombre Obra],MATCH(B71,Tabla6[Alias],0)),"")</f>
        <v>Ampliación en S/E Calama</v>
      </c>
      <c r="J71" t="str">
        <f>IFERROR(INDEX(Tabla6[Segmento],MATCH(B71,Tabla6[Alias],0)),"")</f>
        <v>ZONAL</v>
      </c>
      <c r="K71">
        <f>IFERROR(INDEX(Tabla6[Region],MATCH(B71,Tabla6[Alias],0)),"")</f>
        <v>0</v>
      </c>
      <c r="L71" s="13" t="str">
        <f>IFERROR(INDEX(Tabla6[Tipo de Obra],MATCH(B71,Tabla6[Alias],0))," ")</f>
        <v>OA</v>
      </c>
      <c r="M71" s="13" t="str">
        <f>IFERROR(INDEX(Tabla6[Tipo de Obras],MATCH(B71,Tabla6[Alias],0))," ")</f>
        <v>S/E</v>
      </c>
      <c r="N71" s="13">
        <f>IFERROR(INDEX(Tabla6[Plazo constructivo],MATCH(B71,Tabla6[Alias],0))," ")</f>
        <v>18</v>
      </c>
      <c r="O71" s="14">
        <f>IFERROR(INDEX(Tabla6[Fecha EO],MATCH(B71,Tabla6[Alias],0))," ")</f>
        <v>43617</v>
      </c>
      <c r="P71" s="95">
        <f>IFERROR(INDEX(Tabla6[AVI REF],MATCH(B71,Tabla6[Alias],0))," ")</f>
        <v>534800</v>
      </c>
      <c r="Q71" s="95">
        <f>IFERROR(INDEX(Tabla6[COMA REF],MATCH(B71,Tabla6[Alias],0))," ")</f>
        <v>84800</v>
      </c>
      <c r="R71" s="95">
        <f>IFERROR(INDEX(Tabla6[VATT REF '[AVI + COMA']],MATCH(B71,Tabla6[Alias],0))," ")</f>
        <v>619600</v>
      </c>
      <c r="S71" t="str">
        <f>IFERROR(INDEX(Tabla6[Propietario],MATCH(B71,Tabla6[Alias],0))," ")</f>
        <v>CGE S.A.</v>
      </c>
      <c r="T71" t="s">
        <v>44</v>
      </c>
      <c r="V71" s="117" t="s">
        <v>1232</v>
      </c>
      <c r="W71" s="13" t="s">
        <v>155</v>
      </c>
      <c r="X71" s="122" t="s">
        <v>104</v>
      </c>
      <c r="Y71" s="117"/>
      <c r="Z71" s="122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2_PROC_OA_18_G01</v>
      </c>
      <c r="AA71" s="151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1" s="25"/>
      <c r="AC71" s="95"/>
      <c r="AD71" s="13" t="s">
        <v>317</v>
      </c>
      <c r="AE71" s="132" t="s">
        <v>1256</v>
      </c>
      <c r="AF71" s="94" t="str">
        <f>IFERROR(INDEX(Tabla10[ID],MATCH(BASE_GRAL[[#This Row],[EMPRESA ADJUDICADA]],Tabla10[Alias],0)),"")</f>
        <v>PROP_23</v>
      </c>
      <c r="AG71" s="105">
        <v>43607</v>
      </c>
      <c r="AH71" s="95">
        <v>8069199</v>
      </c>
      <c r="AI71"/>
      <c r="AK71">
        <f>+BASE_GRAL[[#This Row],[COMA ADJUDICADO]]+BASE_GRAL[[#This Row],[AVI ADJUDICADO]]</f>
        <v>0</v>
      </c>
      <c r="AL71" t="s">
        <v>1223</v>
      </c>
      <c r="AM71" s="13" t="s">
        <v>317</v>
      </c>
      <c r="AN71" s="94" t="s">
        <v>317</v>
      </c>
    </row>
    <row r="72" spans="1:40" x14ac:dyDescent="0.25">
      <c r="A72">
        <v>71</v>
      </c>
      <c r="B72" t="s">
        <v>1435</v>
      </c>
      <c r="C72">
        <f>IFERROR(INDEX(Tabla6[AÑO],MATCH(B72,Tabla6[Alias],0)),"")</f>
        <v>2017</v>
      </c>
      <c r="D72">
        <f>IFERROR(INDEX(Tabla6[DECRETO],MATCH(B72,Tabla6[Alias],0)),"")</f>
        <v>418</v>
      </c>
      <c r="E72" s="6">
        <f>IFERROR(INDEX(Tabla6[Fecha de Promulgación],MATCH(B72,Tabla6[Alias],0)),"")</f>
        <v>42920</v>
      </c>
      <c r="F72">
        <f>IFERROR(INDEX(Tabla6[Tabla],MATCH(B72,Tabla6[Alias],0)),"")</f>
        <v>15</v>
      </c>
      <c r="G72" s="5" t="str">
        <f>IFERROR(INDEX(Tabla6[Sistema],MATCH(B72,Tabla6[Alias],0)),"")</f>
        <v>C</v>
      </c>
      <c r="H72" s="5" t="str">
        <f>IFERROR(INDEX(Tabla6[ID_OBRA],MATCH(B72,Tabla6[Alias],0)),"")</f>
        <v>17_418_Z_OA_17</v>
      </c>
      <c r="I72" t="str">
        <f>IFERROR(INDEX(Tabla6[Nombre Obra],MATCH(B72,Tabla6[Alias],0)),"")</f>
        <v>Ampliación en S/E Catemu</v>
      </c>
      <c r="J72" t="str">
        <f>IFERROR(INDEX(Tabla6[Segmento],MATCH(B72,Tabla6[Alias],0)),"")</f>
        <v>ZONAL</v>
      </c>
      <c r="K72">
        <f>IFERROR(INDEX(Tabla6[Region],MATCH(B72,Tabla6[Alias],0)),"")</f>
        <v>0</v>
      </c>
      <c r="L72" s="13" t="str">
        <f>IFERROR(INDEX(Tabla6[Tipo de Obra],MATCH(B72,Tabla6[Alias],0))," ")</f>
        <v>OA</v>
      </c>
      <c r="M72" s="13" t="str">
        <f>IFERROR(INDEX(Tabla6[Tipo de Obras],MATCH(B72,Tabla6[Alias],0))," ")</f>
        <v>S/E</v>
      </c>
      <c r="N72" s="13">
        <f>IFERROR(INDEX(Tabla6[Plazo constructivo],MATCH(B72,Tabla6[Alias],0))," ")</f>
        <v>18</v>
      </c>
      <c r="O72" s="14">
        <f>IFERROR(INDEX(Tabla6[Fecha EO],MATCH(B72,Tabla6[Alias],0))," ")</f>
        <v>43617</v>
      </c>
      <c r="P72" s="95">
        <f>IFERROR(INDEX(Tabla6[AVI REF],MATCH(B72,Tabla6[Alias],0))," ")</f>
        <v>92200</v>
      </c>
      <c r="Q72" s="95">
        <f>IFERROR(INDEX(Tabla6[COMA REF],MATCH(B72,Tabla6[Alias],0))," ")</f>
        <v>14600</v>
      </c>
      <c r="R72" s="95">
        <f>IFERROR(INDEX(Tabla6[VATT REF '[AVI + COMA']],MATCH(B72,Tabla6[Alias],0))," ")</f>
        <v>106800</v>
      </c>
      <c r="S72" t="str">
        <f>IFERROR(INDEX(Tabla6[Propietario],MATCH(B72,Tabla6[Alias],0))," ")</f>
        <v>Chilquinta Energía S.A.</v>
      </c>
      <c r="T72" t="s">
        <v>44</v>
      </c>
      <c r="V72" s="117" t="s">
        <v>1232</v>
      </c>
      <c r="W72" s="13" t="s">
        <v>155</v>
      </c>
      <c r="X72" s="106" t="s">
        <v>105</v>
      </c>
      <c r="Y72" s="117"/>
      <c r="Z72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2_PROC_OA_18_G02</v>
      </c>
      <c r="AA7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2" s="25"/>
      <c r="AC72" s="95"/>
      <c r="AD72" s="13" t="s">
        <v>317</v>
      </c>
      <c r="AE72" s="132" t="s">
        <v>317</v>
      </c>
      <c r="AF72" s="94" t="str">
        <f>IFERROR(INDEX(Tabla10[ID],MATCH(BASE_GRAL[[#This Row],[EMPRESA ADJUDICADA]],Tabla10[Alias],0)),"")</f>
        <v/>
      </c>
      <c r="AG72" s="13" t="s">
        <v>317</v>
      </c>
      <c r="AH72" s="13" t="s">
        <v>317</v>
      </c>
      <c r="AI72"/>
      <c r="AK72">
        <f>+BASE_GRAL[[#This Row],[COMA ADJUDICADO]]+BASE_GRAL[[#This Row],[AVI ADJUDICADO]]</f>
        <v>0</v>
      </c>
      <c r="AL72" s="97" t="s">
        <v>1226</v>
      </c>
      <c r="AM72" s="13" t="s">
        <v>317</v>
      </c>
      <c r="AN72" s="94" t="s">
        <v>317</v>
      </c>
    </row>
    <row r="73" spans="1:40" x14ac:dyDescent="0.25">
      <c r="A73">
        <v>72</v>
      </c>
      <c r="B73" t="s">
        <v>1436</v>
      </c>
      <c r="C73">
        <f>IFERROR(INDEX(Tabla6[AÑO],MATCH(B73,Tabla6[Alias],0)),"")</f>
        <v>2017</v>
      </c>
      <c r="D73">
        <f>IFERROR(INDEX(Tabla6[DECRETO],MATCH(B73,Tabla6[Alias],0)),"")</f>
        <v>418</v>
      </c>
      <c r="E73" s="6">
        <f>IFERROR(INDEX(Tabla6[Fecha de Promulgación],MATCH(B73,Tabla6[Alias],0)),"")</f>
        <v>42920</v>
      </c>
      <c r="F73">
        <f>IFERROR(INDEX(Tabla6[Tabla],MATCH(B73,Tabla6[Alias],0)),"")</f>
        <v>15</v>
      </c>
      <c r="G73" s="5" t="str">
        <f>IFERROR(INDEX(Tabla6[Sistema],MATCH(B73,Tabla6[Alias],0)),"")</f>
        <v>C</v>
      </c>
      <c r="H73" s="5" t="str">
        <f>IFERROR(INDEX(Tabla6[ID_OBRA],MATCH(B73,Tabla6[Alias],0)),"")</f>
        <v>17_418_Z_OA_18</v>
      </c>
      <c r="I73" t="str">
        <f>IFERROR(INDEX(Tabla6[Nombre Obra],MATCH(B73,Tabla6[Alias],0)),"")</f>
        <v>Ampliación en S/E Río Blanco</v>
      </c>
      <c r="J73" t="str">
        <f>IFERROR(INDEX(Tabla6[Segmento],MATCH(B73,Tabla6[Alias],0)),"")</f>
        <v>ZONAL</v>
      </c>
      <c r="K73">
        <f>IFERROR(INDEX(Tabla6[Region],MATCH(B73,Tabla6[Alias],0)),"")</f>
        <v>0</v>
      </c>
      <c r="L73" s="13" t="str">
        <f>IFERROR(INDEX(Tabla6[Tipo de Obra],MATCH(B73,Tabla6[Alias],0))," ")</f>
        <v>OA</v>
      </c>
      <c r="M73" s="13" t="str">
        <f>IFERROR(INDEX(Tabla6[Tipo de Obras],MATCH(B73,Tabla6[Alias],0))," ")</f>
        <v>S/E</v>
      </c>
      <c r="N73" s="13">
        <f>IFERROR(INDEX(Tabla6[Plazo constructivo],MATCH(B73,Tabla6[Alias],0))," ")</f>
        <v>18</v>
      </c>
      <c r="O73" s="14">
        <f>IFERROR(INDEX(Tabla6[Fecha EO],MATCH(B73,Tabla6[Alias],0))," ")</f>
        <v>43617</v>
      </c>
      <c r="P73" s="95">
        <f>IFERROR(INDEX(Tabla6[AVI REF],MATCH(B73,Tabla6[Alias],0))," ")</f>
        <v>25500</v>
      </c>
      <c r="Q73" s="95">
        <f>IFERROR(INDEX(Tabla6[COMA REF],MATCH(B73,Tabla6[Alias],0))," ")</f>
        <v>4000</v>
      </c>
      <c r="R73" s="95">
        <f>IFERROR(INDEX(Tabla6[VATT REF '[AVI + COMA']],MATCH(B73,Tabla6[Alias],0))," ")</f>
        <v>29500</v>
      </c>
      <c r="S73" t="str">
        <f>IFERROR(INDEX(Tabla6[Propietario],MATCH(B73,Tabla6[Alias],0))," ")</f>
        <v>Chilquinta Energía S.A.</v>
      </c>
      <c r="T73" t="s">
        <v>44</v>
      </c>
      <c r="V73" s="117" t="s">
        <v>1232</v>
      </c>
      <c r="W73" s="13" t="s">
        <v>155</v>
      </c>
      <c r="X73" s="106" t="s">
        <v>105</v>
      </c>
      <c r="Y73" s="117"/>
      <c r="Z73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2_PROC_OA_18_G02</v>
      </c>
      <c r="AA7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3" s="25"/>
      <c r="AC73" s="95"/>
      <c r="AD73" s="13" t="s">
        <v>317</v>
      </c>
      <c r="AE73" s="132" t="s">
        <v>317</v>
      </c>
      <c r="AF73" s="94" t="str">
        <f>IFERROR(INDEX(Tabla10[ID],MATCH(BASE_GRAL[[#This Row],[EMPRESA ADJUDICADA]],Tabla10[Alias],0)),"")</f>
        <v/>
      </c>
      <c r="AG73" s="13" t="s">
        <v>317</v>
      </c>
      <c r="AH73" s="13" t="s">
        <v>317</v>
      </c>
      <c r="AI73"/>
      <c r="AK73">
        <f>+BASE_GRAL[[#This Row],[COMA ADJUDICADO]]+BASE_GRAL[[#This Row],[AVI ADJUDICADO]]</f>
        <v>0</v>
      </c>
      <c r="AL73" s="97" t="s">
        <v>1226</v>
      </c>
      <c r="AM73" s="13" t="s">
        <v>317</v>
      </c>
      <c r="AN73" s="94" t="s">
        <v>317</v>
      </c>
    </row>
    <row r="74" spans="1:40" x14ac:dyDescent="0.25">
      <c r="A74">
        <v>73</v>
      </c>
      <c r="B74" t="s">
        <v>1437</v>
      </c>
      <c r="C74">
        <f>IFERROR(INDEX(Tabla6[AÑO],MATCH(B74,Tabla6[Alias],0)),"")</f>
        <v>2017</v>
      </c>
      <c r="D74">
        <f>IFERROR(INDEX(Tabla6[DECRETO],MATCH(B74,Tabla6[Alias],0)),"")</f>
        <v>418</v>
      </c>
      <c r="E74" s="6">
        <f>IFERROR(INDEX(Tabla6[Fecha de Promulgación],MATCH(B74,Tabla6[Alias],0)),"")</f>
        <v>42920</v>
      </c>
      <c r="F74">
        <f>IFERROR(INDEX(Tabla6[Tabla],MATCH(B74,Tabla6[Alias],0)),"")</f>
        <v>15</v>
      </c>
      <c r="G74" s="5" t="str">
        <f>IFERROR(INDEX(Tabla6[Sistema],MATCH(B74,Tabla6[Alias],0)),"")</f>
        <v>C</v>
      </c>
      <c r="H74" s="5" t="str">
        <f>IFERROR(INDEX(Tabla6[ID_OBRA],MATCH(B74,Tabla6[Alias],0)),"")</f>
        <v>17_418_Z_OA_19</v>
      </c>
      <c r="I74" t="str">
        <f>IFERROR(INDEX(Tabla6[Nombre Obra],MATCH(B74,Tabla6[Alias],0)),"")</f>
        <v>Ampliación en S/E San Felipe</v>
      </c>
      <c r="J74" t="str">
        <f>IFERROR(INDEX(Tabla6[Segmento],MATCH(B74,Tabla6[Alias],0)),"")</f>
        <v>ZONAL</v>
      </c>
      <c r="K74">
        <f>IFERROR(INDEX(Tabla6[Region],MATCH(B74,Tabla6[Alias],0)),"")</f>
        <v>0</v>
      </c>
      <c r="L74" s="13" t="str">
        <f>IFERROR(INDEX(Tabla6[Tipo de Obra],MATCH(B74,Tabla6[Alias],0))," ")</f>
        <v>OA</v>
      </c>
      <c r="M74" s="13" t="str">
        <f>IFERROR(INDEX(Tabla6[Tipo de Obras],MATCH(B74,Tabla6[Alias],0))," ")</f>
        <v>S/E</v>
      </c>
      <c r="N74" s="13">
        <f>IFERROR(INDEX(Tabla6[Plazo constructivo],MATCH(B74,Tabla6[Alias],0))," ")</f>
        <v>18</v>
      </c>
      <c r="O74" s="14">
        <f>IFERROR(INDEX(Tabla6[Fecha EO],MATCH(B74,Tabla6[Alias],0))," ")</f>
        <v>43617</v>
      </c>
      <c r="P74" s="95">
        <f>IFERROR(INDEX(Tabla6[AVI REF],MATCH(B74,Tabla6[Alias],0))," ")</f>
        <v>189500</v>
      </c>
      <c r="Q74" s="95">
        <f>IFERROR(INDEX(Tabla6[COMA REF],MATCH(B74,Tabla6[Alias],0))," ")</f>
        <v>30100</v>
      </c>
      <c r="R74" s="95">
        <f>IFERROR(INDEX(Tabla6[VATT REF '[AVI + COMA']],MATCH(B74,Tabla6[Alias],0))," ")</f>
        <v>219600</v>
      </c>
      <c r="S74" t="str">
        <f>IFERROR(INDEX(Tabla6[Propietario],MATCH(B74,Tabla6[Alias],0))," ")</f>
        <v>Chilquinta Energía S.A.</v>
      </c>
      <c r="T74" t="s">
        <v>44</v>
      </c>
      <c r="V74" s="117" t="s">
        <v>1232</v>
      </c>
      <c r="W74" s="13" t="s">
        <v>155</v>
      </c>
      <c r="X74" s="106" t="s">
        <v>105</v>
      </c>
      <c r="Y74" s="117"/>
      <c r="Z74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2_PROC_OA_18_G02</v>
      </c>
      <c r="AA7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4" s="25"/>
      <c r="AC74" s="95"/>
      <c r="AD74" s="13" t="s">
        <v>317</v>
      </c>
      <c r="AE74" s="132" t="s">
        <v>317</v>
      </c>
      <c r="AF74" s="94" t="str">
        <f>IFERROR(INDEX(Tabla10[ID],MATCH(BASE_GRAL[[#This Row],[EMPRESA ADJUDICADA]],Tabla10[Alias],0)),"")</f>
        <v/>
      </c>
      <c r="AG74" s="13" t="s">
        <v>317</v>
      </c>
      <c r="AH74" s="13" t="s">
        <v>317</v>
      </c>
      <c r="AI74"/>
      <c r="AK74">
        <f>+BASE_GRAL[[#This Row],[COMA ADJUDICADO]]+BASE_GRAL[[#This Row],[AVI ADJUDICADO]]</f>
        <v>0</v>
      </c>
      <c r="AL74" s="97" t="s">
        <v>1226</v>
      </c>
      <c r="AM74" s="13" t="s">
        <v>317</v>
      </c>
      <c r="AN74" s="94" t="s">
        <v>317</v>
      </c>
    </row>
    <row r="75" spans="1:40" x14ac:dyDescent="0.25">
      <c r="A75">
        <v>70</v>
      </c>
      <c r="B75" t="s">
        <v>1434</v>
      </c>
      <c r="C75">
        <f>IFERROR(INDEX(Tabla6[AÑO],MATCH(B75,Tabla6[Alias],0)),"")</f>
        <v>2017</v>
      </c>
      <c r="D75">
        <f>IFERROR(INDEX(Tabla6[DECRETO],MATCH(B75,Tabla6[Alias],0)),"")</f>
        <v>418</v>
      </c>
      <c r="E75" s="6">
        <f>IFERROR(INDEX(Tabla6[Fecha de Promulgación],MATCH(B75,Tabla6[Alias],0)),"")</f>
        <v>42920</v>
      </c>
      <c r="F75">
        <f>IFERROR(INDEX(Tabla6[Tabla],MATCH(B75,Tabla6[Alias],0)),"")</f>
        <v>17</v>
      </c>
      <c r="G75" s="5" t="str">
        <f>IFERROR(INDEX(Tabla6[Sistema],MATCH(B75,Tabla6[Alias],0)),"")</f>
        <v>E</v>
      </c>
      <c r="H75" s="5" t="str">
        <f>IFERROR(INDEX(Tabla6[ID_OBRA],MATCH(B75,Tabla6[Alias],0)),"")</f>
        <v>17_418_Z_OA_16</v>
      </c>
      <c r="I75" t="str">
        <f>IFERROR(INDEX(Tabla6[Nombre Obra],MATCH(B75,Tabla6[Alias],0)),"")</f>
        <v>Aumento de capacidad de transmisión en línea 1x66KV El Maitén - El Paico - El Monte</v>
      </c>
      <c r="J75" t="str">
        <f>IFERROR(INDEX(Tabla6[Segmento],MATCH(B75,Tabla6[Alias],0)),"")</f>
        <v>ZONAL</v>
      </c>
      <c r="K75">
        <f>IFERROR(INDEX(Tabla6[Region],MATCH(B75,Tabla6[Alias],0)),"")</f>
        <v>0</v>
      </c>
      <c r="L75" s="13" t="str">
        <f>IFERROR(INDEX(Tabla6[Tipo de Obra],MATCH(B75,Tabla6[Alias],0))," ")</f>
        <v>OA</v>
      </c>
      <c r="M75" s="13" t="str">
        <f>IFERROR(INDEX(Tabla6[Tipo de Obras],MATCH(B75,Tabla6[Alias],0))," ")</f>
        <v>S/E</v>
      </c>
      <c r="N75" s="13">
        <f>IFERROR(INDEX(Tabla6[Plazo constructivo],MATCH(B75,Tabla6[Alias],0))," ")</f>
        <v>24</v>
      </c>
      <c r="O75" s="14">
        <f>IFERROR(INDEX(Tabla6[Fecha EO],MATCH(B75,Tabla6[Alias],0))," ")</f>
        <v>43800</v>
      </c>
      <c r="P75" s="95">
        <f>IFERROR(INDEX(Tabla6[AVI REF],MATCH(B75,Tabla6[Alias],0))," ")</f>
        <v>341700</v>
      </c>
      <c r="Q75" s="95">
        <f>IFERROR(INDEX(Tabla6[COMA REF],MATCH(B75,Tabla6[Alias],0))," ")</f>
        <v>54200</v>
      </c>
      <c r="R75" s="95">
        <f>IFERROR(INDEX(Tabla6[VATT REF '[AVI + COMA']],MATCH(B75,Tabla6[Alias],0))," ")</f>
        <v>395900</v>
      </c>
      <c r="S75" t="str">
        <f>IFERROR(INDEX(Tabla6[Propietario],MATCH(B75,Tabla6[Alias],0))," ")</f>
        <v>CGE S.A.</v>
      </c>
      <c r="T75" t="s">
        <v>63</v>
      </c>
      <c r="U75" t="s">
        <v>64</v>
      </c>
      <c r="V75" s="117" t="s">
        <v>1232</v>
      </c>
      <c r="W75" s="13" t="s">
        <v>155</v>
      </c>
      <c r="X75" s="106" t="s">
        <v>106</v>
      </c>
      <c r="Y75" s="117"/>
      <c r="Z75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2_PROC_OA_18_G03</v>
      </c>
      <c r="AA7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5" s="25"/>
      <c r="AC75" s="95"/>
      <c r="AD75" s="13" t="s">
        <v>317</v>
      </c>
      <c r="AE75" s="132" t="s">
        <v>317</v>
      </c>
      <c r="AF75" s="94" t="str">
        <f>IFERROR(INDEX(Tabla10[ID],MATCH(BASE_GRAL[[#This Row],[EMPRESA ADJUDICADA]],Tabla10[Alias],0)),"")</f>
        <v/>
      </c>
      <c r="AG75" s="13" t="s">
        <v>317</v>
      </c>
      <c r="AH75" s="13" t="s">
        <v>317</v>
      </c>
      <c r="AI75"/>
      <c r="AK75">
        <f>+BASE_GRAL[[#This Row],[COMA ADJUDICADO]]+BASE_GRAL[[#This Row],[AVI ADJUDICADO]]</f>
        <v>0</v>
      </c>
      <c r="AL75" s="97" t="s">
        <v>1226</v>
      </c>
      <c r="AM75" s="13" t="s">
        <v>317</v>
      </c>
      <c r="AN75" s="94" t="s">
        <v>317</v>
      </c>
    </row>
    <row r="76" spans="1:40" x14ac:dyDescent="0.25">
      <c r="A76">
        <v>77</v>
      </c>
      <c r="B76" t="s">
        <v>1451</v>
      </c>
      <c r="C76">
        <f>IFERROR(INDEX(Tabla6[AÑO],MATCH(B76,Tabla6[Alias],0)),"")</f>
        <v>2017</v>
      </c>
      <c r="D76">
        <f>IFERROR(INDEX(Tabla6[DECRETO],MATCH(B76,Tabla6[Alias],0)),"")</f>
        <v>418</v>
      </c>
      <c r="E76" s="6">
        <f>IFERROR(INDEX(Tabla6[Fecha de Promulgación],MATCH(B76,Tabla6[Alias],0)),"")</f>
        <v>42920</v>
      </c>
      <c r="F76">
        <f>IFERROR(INDEX(Tabla6[Tabla],MATCH(B76,Tabla6[Alias],0)),"")</f>
        <v>17</v>
      </c>
      <c r="G76" s="5" t="str">
        <f>IFERROR(INDEX(Tabla6[Sistema],MATCH(B76,Tabla6[Alias],0)),"")</f>
        <v>E</v>
      </c>
      <c r="H76" s="5" t="str">
        <f>IFERROR(INDEX(Tabla6[ID_OBRA],MATCH(B76,Tabla6[Alias],0)),"")</f>
        <v>17_418_Z_OA_33</v>
      </c>
      <c r="I76" t="str">
        <f>IFERROR(INDEX(Tabla6[Nombre Obra],MATCH(B76,Tabla6[Alias],0)),"")</f>
        <v>Ampliación en S/E Alameda</v>
      </c>
      <c r="J76" t="str">
        <f>IFERROR(INDEX(Tabla6[Segmento],MATCH(B76,Tabla6[Alias],0)),"")</f>
        <v>ZONAL</v>
      </c>
      <c r="K76">
        <f>IFERROR(INDEX(Tabla6[Region],MATCH(B76,Tabla6[Alias],0)),"")</f>
        <v>0</v>
      </c>
      <c r="L76" s="13" t="str">
        <f>IFERROR(INDEX(Tabla6[Tipo de Obra],MATCH(B76,Tabla6[Alias],0))," ")</f>
        <v>OA</v>
      </c>
      <c r="M76" s="13" t="str">
        <f>IFERROR(INDEX(Tabla6[Tipo de Obras],MATCH(B76,Tabla6[Alias],0))," ")</f>
        <v>S/E</v>
      </c>
      <c r="N76" s="13">
        <f>IFERROR(INDEX(Tabla6[Plazo constructivo],MATCH(B76,Tabla6[Alias],0))," ")</f>
        <v>18</v>
      </c>
      <c r="O76" s="14">
        <f>IFERROR(INDEX(Tabla6[Fecha EO],MATCH(B76,Tabla6[Alias],0))," ")</f>
        <v>43617</v>
      </c>
      <c r="P76" s="95">
        <f>IFERROR(INDEX(Tabla6[AVI REF],MATCH(B76,Tabla6[Alias],0))," ")</f>
        <v>280600</v>
      </c>
      <c r="Q76" s="95">
        <f>IFERROR(INDEX(Tabla6[COMA REF],MATCH(B76,Tabla6[Alias],0))," ")</f>
        <v>44500</v>
      </c>
      <c r="R76" s="95">
        <f>IFERROR(INDEX(Tabla6[VATT REF '[AVI + COMA']],MATCH(B76,Tabla6[Alias],0))," ")</f>
        <v>325100</v>
      </c>
      <c r="S76" t="str">
        <f>IFERROR(INDEX(Tabla6[Propietario],MATCH(B76,Tabla6[Alias],0))," ")</f>
        <v>CGE S.A.</v>
      </c>
      <c r="T76" t="s">
        <v>44</v>
      </c>
      <c r="U76" t="s">
        <v>67</v>
      </c>
      <c r="V76" s="117" t="s">
        <v>1232</v>
      </c>
      <c r="W76" s="13" t="s">
        <v>155</v>
      </c>
      <c r="X76" s="106" t="s">
        <v>106</v>
      </c>
      <c r="Y76" s="117"/>
      <c r="Z76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2_PROC_OA_18_G03</v>
      </c>
      <c r="AA7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6" s="25"/>
      <c r="AC76" s="95"/>
      <c r="AD76" s="13" t="s">
        <v>317</v>
      </c>
      <c r="AE76" s="132" t="s">
        <v>317</v>
      </c>
      <c r="AF76" s="94" t="str">
        <f>IFERROR(INDEX(Tabla10[ID],MATCH(BASE_GRAL[[#This Row],[EMPRESA ADJUDICADA]],Tabla10[Alias],0)),"")</f>
        <v/>
      </c>
      <c r="AG76" s="13" t="s">
        <v>317</v>
      </c>
      <c r="AH76" s="13" t="s">
        <v>317</v>
      </c>
      <c r="AI76"/>
      <c r="AK76">
        <f>+BASE_GRAL[[#This Row],[COMA ADJUDICADO]]+BASE_GRAL[[#This Row],[AVI ADJUDICADO]]</f>
        <v>0</v>
      </c>
      <c r="AL76" s="97" t="s">
        <v>1226</v>
      </c>
      <c r="AM76" s="13" t="s">
        <v>317</v>
      </c>
      <c r="AN76" s="94" t="s">
        <v>317</v>
      </c>
    </row>
    <row r="77" spans="1:40" x14ac:dyDescent="0.25">
      <c r="A77">
        <v>78</v>
      </c>
      <c r="B77" t="s">
        <v>1452</v>
      </c>
      <c r="C77">
        <f>IFERROR(INDEX(Tabla6[AÑO],MATCH(B77,Tabla6[Alias],0)),"")</f>
        <v>2017</v>
      </c>
      <c r="D77">
        <f>IFERROR(INDEX(Tabla6[DECRETO],MATCH(B77,Tabla6[Alias],0)),"")</f>
        <v>418</v>
      </c>
      <c r="E77" s="6">
        <f>IFERROR(INDEX(Tabla6[Fecha de Promulgación],MATCH(B77,Tabla6[Alias],0)),"")</f>
        <v>42920</v>
      </c>
      <c r="F77">
        <f>IFERROR(INDEX(Tabla6[Tabla],MATCH(B77,Tabla6[Alias],0)),"")</f>
        <v>17</v>
      </c>
      <c r="G77" s="5" t="str">
        <f>IFERROR(INDEX(Tabla6[Sistema],MATCH(B77,Tabla6[Alias],0)),"")</f>
        <v>E</v>
      </c>
      <c r="H77" s="5" t="str">
        <f>IFERROR(INDEX(Tabla6[ID_OBRA],MATCH(B77,Tabla6[Alias],0)),"")</f>
        <v>17_418_Z_OA_34</v>
      </c>
      <c r="I77" t="str">
        <f>IFERROR(INDEX(Tabla6[Nombre Obra],MATCH(B77,Tabla6[Alias],0)),"")</f>
        <v>Ampliación en S/E Graneros</v>
      </c>
      <c r="J77" t="str">
        <f>IFERROR(INDEX(Tabla6[Segmento],MATCH(B77,Tabla6[Alias],0)),"")</f>
        <v>ZONAL</v>
      </c>
      <c r="K77">
        <f>IFERROR(INDEX(Tabla6[Region],MATCH(B77,Tabla6[Alias],0)),"")</f>
        <v>0</v>
      </c>
      <c r="L77" s="13" t="str">
        <f>IFERROR(INDEX(Tabla6[Tipo de Obra],MATCH(B77,Tabla6[Alias],0))," ")</f>
        <v>OA</v>
      </c>
      <c r="M77" s="13" t="str">
        <f>IFERROR(INDEX(Tabla6[Tipo de Obras],MATCH(B77,Tabla6[Alias],0))," ")</f>
        <v>S/E</v>
      </c>
      <c r="N77" s="13">
        <f>IFERROR(INDEX(Tabla6[Plazo constructivo],MATCH(B77,Tabla6[Alias],0))," ")</f>
        <v>18</v>
      </c>
      <c r="O77" s="14">
        <f>IFERROR(INDEX(Tabla6[Fecha EO],MATCH(B77,Tabla6[Alias],0))," ")</f>
        <v>43617</v>
      </c>
      <c r="P77" s="95">
        <f>IFERROR(INDEX(Tabla6[AVI REF],MATCH(B77,Tabla6[Alias],0))," ")</f>
        <v>260300</v>
      </c>
      <c r="Q77" s="95">
        <f>IFERROR(INDEX(Tabla6[COMA REF],MATCH(B77,Tabla6[Alias],0))," ")</f>
        <v>41300</v>
      </c>
      <c r="R77" s="95">
        <f>IFERROR(INDEX(Tabla6[VATT REF '[AVI + COMA']],MATCH(B77,Tabla6[Alias],0))," ")</f>
        <v>301600</v>
      </c>
      <c r="S77" t="str">
        <f>IFERROR(INDEX(Tabla6[Propietario],MATCH(B77,Tabla6[Alias],0))," ")</f>
        <v>CGE S.A.</v>
      </c>
      <c r="T77" t="s">
        <v>44</v>
      </c>
      <c r="U77" t="s">
        <v>68</v>
      </c>
      <c r="V77" s="117" t="s">
        <v>1232</v>
      </c>
      <c r="W77" s="13" t="s">
        <v>155</v>
      </c>
      <c r="X77" s="106" t="s">
        <v>106</v>
      </c>
      <c r="Y77" s="117"/>
      <c r="Z77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2_PROC_OA_18_G03</v>
      </c>
      <c r="AA7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7" s="25"/>
      <c r="AC77" s="95"/>
      <c r="AD77" s="13" t="s">
        <v>317</v>
      </c>
      <c r="AE77" s="132" t="s">
        <v>1264</v>
      </c>
      <c r="AF77" s="94" t="str">
        <f>IFERROR(INDEX(Tabla10[ID],MATCH(BASE_GRAL[[#This Row],[EMPRESA ADJUDICADA]],Tabla10[Alias],0)),"")</f>
        <v>PROP_01</v>
      </c>
      <c r="AG77" s="105">
        <v>43607</v>
      </c>
      <c r="AH77" s="95">
        <v>3867102</v>
      </c>
      <c r="AI77"/>
      <c r="AK77">
        <f>+BASE_GRAL[[#This Row],[COMA ADJUDICADO]]+BASE_GRAL[[#This Row],[AVI ADJUDICADO]]</f>
        <v>0</v>
      </c>
      <c r="AL77" t="s">
        <v>1223</v>
      </c>
      <c r="AM77" s="13" t="s">
        <v>317</v>
      </c>
      <c r="AN77" s="94" t="s">
        <v>317</v>
      </c>
    </row>
    <row r="78" spans="1:40" x14ac:dyDescent="0.25">
      <c r="A78">
        <v>74</v>
      </c>
      <c r="B78" t="s">
        <v>1447</v>
      </c>
      <c r="C78">
        <f>IFERROR(INDEX(Tabla6[AÑO],MATCH(B78,Tabla6[Alias],0)),"")</f>
        <v>2017</v>
      </c>
      <c r="D78">
        <f>IFERROR(INDEX(Tabla6[DECRETO],MATCH(B78,Tabla6[Alias],0)),"")</f>
        <v>418</v>
      </c>
      <c r="E78" s="6">
        <f>IFERROR(INDEX(Tabla6[Fecha de Promulgación],MATCH(B78,Tabla6[Alias],0)),"")</f>
        <v>42920</v>
      </c>
      <c r="F78">
        <f>IFERROR(INDEX(Tabla6[Tabla],MATCH(B78,Tabla6[Alias],0)),"")</f>
        <v>17</v>
      </c>
      <c r="G78" s="5" t="str">
        <f>IFERROR(INDEX(Tabla6[Sistema],MATCH(B78,Tabla6[Alias],0)),"")</f>
        <v>E</v>
      </c>
      <c r="H78" s="5" t="str">
        <f>IFERROR(INDEX(Tabla6[ID_OBRA],MATCH(B78,Tabla6[Alias],0)),"")</f>
        <v>17_418_Z_OA_29</v>
      </c>
      <c r="I78" t="str">
        <f>IFERROR(INDEX(Tabla6[Nombre Obra],MATCH(B78,Tabla6[Alias],0)),"")</f>
        <v>Ampliación en S/E La Esperanza</v>
      </c>
      <c r="J78" t="str">
        <f>IFERROR(INDEX(Tabla6[Segmento],MATCH(B78,Tabla6[Alias],0)),"")</f>
        <v>ZONAL</v>
      </c>
      <c r="K78">
        <f>IFERROR(INDEX(Tabla6[Region],MATCH(B78,Tabla6[Alias],0)),"")</f>
        <v>0</v>
      </c>
      <c r="L78" s="13" t="str">
        <f>IFERROR(INDEX(Tabla6[Tipo de Obra],MATCH(B78,Tabla6[Alias],0))," ")</f>
        <v>OA</v>
      </c>
      <c r="M78" s="13" t="str">
        <f>IFERROR(INDEX(Tabla6[Tipo de Obras],MATCH(B78,Tabla6[Alias],0))," ")</f>
        <v>S/E</v>
      </c>
      <c r="N78" s="13">
        <f>IFERROR(INDEX(Tabla6[Plazo constructivo],MATCH(B78,Tabla6[Alias],0))," ")</f>
        <v>18</v>
      </c>
      <c r="O78" s="14">
        <f>IFERROR(INDEX(Tabla6[Fecha EO],MATCH(B78,Tabla6[Alias],0))," ")</f>
        <v>43617</v>
      </c>
      <c r="P78" s="95">
        <f>IFERROR(INDEX(Tabla6[AVI REF],MATCH(B78,Tabla6[Alias],0))," ")</f>
        <v>228400</v>
      </c>
      <c r="Q78" s="95">
        <f>IFERROR(INDEX(Tabla6[COMA REF],MATCH(B78,Tabla6[Alias],0))," ")</f>
        <v>36200</v>
      </c>
      <c r="R78" s="95">
        <f>IFERROR(INDEX(Tabla6[VATT REF '[AVI + COMA']],MATCH(B78,Tabla6[Alias],0))," ")</f>
        <v>264600</v>
      </c>
      <c r="S78" t="str">
        <f>IFERROR(INDEX(Tabla6[Propietario],MATCH(B78,Tabla6[Alias],0))," ")</f>
        <v>CGE S.A.</v>
      </c>
      <c r="T78" t="s">
        <v>44</v>
      </c>
      <c r="U78" t="s">
        <v>61</v>
      </c>
      <c r="V78" s="117" t="s">
        <v>1232</v>
      </c>
      <c r="W78" s="13" t="s">
        <v>155</v>
      </c>
      <c r="X78" s="106" t="s">
        <v>107</v>
      </c>
      <c r="Y78" s="117"/>
      <c r="Z78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2_PROC_OA_18_G04</v>
      </c>
      <c r="AA7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8" s="25"/>
      <c r="AC78" s="95">
        <v>4153520</v>
      </c>
      <c r="AD78" s="13" t="s">
        <v>317</v>
      </c>
      <c r="AE78" s="132" t="s">
        <v>317</v>
      </c>
      <c r="AF78" s="94" t="str">
        <f>IFERROR(INDEX(Tabla10[ID],MATCH(BASE_GRAL[[#This Row],[EMPRESA ADJUDICADA]],Tabla10[Alias],0)),"")</f>
        <v/>
      </c>
      <c r="AG78" s="13" t="s">
        <v>317</v>
      </c>
      <c r="AH78" s="13" t="s">
        <v>317</v>
      </c>
      <c r="AI78"/>
      <c r="AK78">
        <f>+BASE_GRAL[[#This Row],[COMA ADJUDICADO]]+BASE_GRAL[[#This Row],[AVI ADJUDICADO]]</f>
        <v>0</v>
      </c>
      <c r="AL78" s="97" t="s">
        <v>1226</v>
      </c>
      <c r="AM78" s="13" t="s">
        <v>317</v>
      </c>
      <c r="AN78" s="94" t="s">
        <v>317</v>
      </c>
    </row>
    <row r="79" spans="1:40" x14ac:dyDescent="0.25">
      <c r="A79">
        <v>75</v>
      </c>
      <c r="B79" t="s">
        <v>1449</v>
      </c>
      <c r="C79">
        <f>IFERROR(INDEX(Tabla6[AÑO],MATCH(B79,Tabla6[Alias],0)),"")</f>
        <v>2017</v>
      </c>
      <c r="D79">
        <f>IFERROR(INDEX(Tabla6[DECRETO],MATCH(B79,Tabla6[Alias],0)),"")</f>
        <v>418</v>
      </c>
      <c r="E79" s="6">
        <f>IFERROR(INDEX(Tabla6[Fecha de Promulgación],MATCH(B79,Tabla6[Alias],0)),"")</f>
        <v>42920</v>
      </c>
      <c r="F79">
        <f>IFERROR(INDEX(Tabla6[Tabla],MATCH(B79,Tabla6[Alias],0)),"")</f>
        <v>17</v>
      </c>
      <c r="G79" s="5" t="str">
        <f>IFERROR(INDEX(Tabla6[Sistema],MATCH(B79,Tabla6[Alias],0)),"")</f>
        <v>E</v>
      </c>
      <c r="H79" s="5" t="str">
        <f>IFERROR(INDEX(Tabla6[ID_OBRA],MATCH(B79,Tabla6[Alias],0)),"")</f>
        <v>17_418_Z_OA_31</v>
      </c>
      <c r="I79" t="str">
        <f>IFERROR(INDEX(Tabla6[Nombre Obra],MATCH(B79,Tabla6[Alias],0)),"")</f>
        <v>Ampliación en S/E Nancahua</v>
      </c>
      <c r="J79" t="str">
        <f>IFERROR(INDEX(Tabla6[Segmento],MATCH(B79,Tabla6[Alias],0)),"")</f>
        <v>ZONAL</v>
      </c>
      <c r="K79">
        <f>IFERROR(INDEX(Tabla6[Region],MATCH(B79,Tabla6[Alias],0)),"")</f>
        <v>0</v>
      </c>
      <c r="L79" s="13" t="str">
        <f>IFERROR(INDEX(Tabla6[Tipo de Obra],MATCH(B79,Tabla6[Alias],0))," ")</f>
        <v>OA</v>
      </c>
      <c r="M79" s="13" t="str">
        <f>IFERROR(INDEX(Tabla6[Tipo de Obras],MATCH(B79,Tabla6[Alias],0))," ")</f>
        <v>S/E</v>
      </c>
      <c r="N79" s="13">
        <f>IFERROR(INDEX(Tabla6[Plazo constructivo],MATCH(B79,Tabla6[Alias],0))," ")</f>
        <v>18</v>
      </c>
      <c r="O79" s="14">
        <f>IFERROR(INDEX(Tabla6[Fecha EO],MATCH(B79,Tabla6[Alias],0))," ")</f>
        <v>43617</v>
      </c>
      <c r="P79" s="95">
        <f>IFERROR(INDEX(Tabla6[AVI REF],MATCH(B79,Tabla6[Alias],0))," ")</f>
        <v>202700</v>
      </c>
      <c r="Q79" s="95">
        <f>IFERROR(INDEX(Tabla6[COMA REF],MATCH(B79,Tabla6[Alias],0))," ")</f>
        <v>32200.000000000004</v>
      </c>
      <c r="R79" s="95">
        <f>IFERROR(INDEX(Tabla6[VATT REF '[AVI + COMA']],MATCH(B79,Tabla6[Alias],0))," ")</f>
        <v>234900</v>
      </c>
      <c r="S79" t="str">
        <f>IFERROR(INDEX(Tabla6[Propietario],MATCH(B79,Tabla6[Alias],0))," ")</f>
        <v>CGE S.A.</v>
      </c>
      <c r="T79" t="s">
        <v>44</v>
      </c>
      <c r="U79" t="s">
        <v>65</v>
      </c>
      <c r="V79" s="117" t="s">
        <v>1232</v>
      </c>
      <c r="W79" s="13" t="s">
        <v>155</v>
      </c>
      <c r="X79" s="106" t="s">
        <v>107</v>
      </c>
      <c r="Y79" s="117"/>
      <c r="Z79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2_PROC_OA_18_G04</v>
      </c>
      <c r="AA7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79" s="25"/>
      <c r="AC79" s="95"/>
      <c r="AD79" s="13" t="s">
        <v>317</v>
      </c>
      <c r="AE79" s="132" t="s">
        <v>317</v>
      </c>
      <c r="AF79" s="94" t="str">
        <f>IFERROR(INDEX(Tabla10[ID],MATCH(BASE_GRAL[[#This Row],[EMPRESA ADJUDICADA]],Tabla10[Alias],0)),"")</f>
        <v/>
      </c>
      <c r="AG79" s="13" t="s">
        <v>317</v>
      </c>
      <c r="AH79" s="13" t="s">
        <v>317</v>
      </c>
      <c r="AI79"/>
      <c r="AK79">
        <f>+BASE_GRAL[[#This Row],[COMA ADJUDICADO]]+BASE_GRAL[[#This Row],[AVI ADJUDICADO]]</f>
        <v>0</v>
      </c>
      <c r="AL79" s="97" t="s">
        <v>1226</v>
      </c>
      <c r="AM79" s="13" t="s">
        <v>317</v>
      </c>
      <c r="AN79" s="94" t="s">
        <v>317</v>
      </c>
    </row>
    <row r="80" spans="1:40" x14ac:dyDescent="0.25">
      <c r="A80">
        <v>76</v>
      </c>
      <c r="B80" t="s">
        <v>1450</v>
      </c>
      <c r="C80">
        <f>IFERROR(INDEX(Tabla6[AÑO],MATCH(B80,Tabla6[Alias],0)),"")</f>
        <v>2017</v>
      </c>
      <c r="D80">
        <f>IFERROR(INDEX(Tabla6[DECRETO],MATCH(B80,Tabla6[Alias],0)),"")</f>
        <v>418</v>
      </c>
      <c r="E80" s="6">
        <f>IFERROR(INDEX(Tabla6[Fecha de Promulgación],MATCH(B80,Tabla6[Alias],0)),"")</f>
        <v>42920</v>
      </c>
      <c r="F80">
        <f>IFERROR(INDEX(Tabla6[Tabla],MATCH(B80,Tabla6[Alias],0)),"")</f>
        <v>17</v>
      </c>
      <c r="G80" s="5" t="str">
        <f>IFERROR(INDEX(Tabla6[Sistema],MATCH(B80,Tabla6[Alias],0)),"")</f>
        <v>E</v>
      </c>
      <c r="H80" s="5" t="str">
        <f>IFERROR(INDEX(Tabla6[ID_OBRA],MATCH(B80,Tabla6[Alias],0)),"")</f>
        <v>17_418_Z_OA_32</v>
      </c>
      <c r="I80" t="str">
        <f>IFERROR(INDEX(Tabla6[Nombre Obra],MATCH(B80,Tabla6[Alias],0)),"")</f>
        <v>Ampliación en S/E Paniahue</v>
      </c>
      <c r="J80" t="str">
        <f>IFERROR(INDEX(Tabla6[Segmento],MATCH(B80,Tabla6[Alias],0)),"")</f>
        <v>ZONAL</v>
      </c>
      <c r="K80">
        <f>IFERROR(INDEX(Tabla6[Region],MATCH(B80,Tabla6[Alias],0)),"")</f>
        <v>0</v>
      </c>
      <c r="L80" s="13" t="str">
        <f>IFERROR(INDEX(Tabla6[Tipo de Obra],MATCH(B80,Tabla6[Alias],0))," ")</f>
        <v>OA</v>
      </c>
      <c r="M80" s="13" t="str">
        <f>IFERROR(INDEX(Tabla6[Tipo de Obras],MATCH(B80,Tabla6[Alias],0))," ")</f>
        <v>S/E</v>
      </c>
      <c r="N80" s="13">
        <f>IFERROR(INDEX(Tabla6[Plazo constructivo],MATCH(B80,Tabla6[Alias],0))," ")</f>
        <v>18</v>
      </c>
      <c r="O80" s="14">
        <f>IFERROR(INDEX(Tabla6[Fecha EO],MATCH(B80,Tabla6[Alias],0))," ")</f>
        <v>43617</v>
      </c>
      <c r="P80" s="95">
        <f>IFERROR(INDEX(Tabla6[AVI REF],MATCH(B80,Tabla6[Alias],0))," ")</f>
        <v>251600</v>
      </c>
      <c r="Q80" s="95">
        <f>IFERROR(INDEX(Tabla6[COMA REF],MATCH(B80,Tabla6[Alias],0))," ")</f>
        <v>39900</v>
      </c>
      <c r="R80" s="95">
        <f>IFERROR(INDEX(Tabla6[VATT REF '[AVI + COMA']],MATCH(B80,Tabla6[Alias],0))," ")</f>
        <v>291500</v>
      </c>
      <c r="S80" t="str">
        <f>IFERROR(INDEX(Tabla6[Propietario],MATCH(B80,Tabla6[Alias],0))," ")</f>
        <v>CGE S.A.</v>
      </c>
      <c r="T80" t="s">
        <v>44</v>
      </c>
      <c r="U80" t="s">
        <v>66</v>
      </c>
      <c r="V80" s="117" t="s">
        <v>1232</v>
      </c>
      <c r="W80" s="13" t="s">
        <v>155</v>
      </c>
      <c r="X80" s="106" t="s">
        <v>107</v>
      </c>
      <c r="Y80" s="117"/>
      <c r="Z80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2_PROC_OA_18_G04</v>
      </c>
      <c r="AA8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80" s="25"/>
      <c r="AC80" s="95"/>
      <c r="AD80" s="13" t="s">
        <v>317</v>
      </c>
      <c r="AE80" s="132" t="s">
        <v>317</v>
      </c>
      <c r="AF80" s="94" t="str">
        <f>IFERROR(INDEX(Tabla10[ID],MATCH(BASE_GRAL[[#This Row],[EMPRESA ADJUDICADA]],Tabla10[Alias],0)),"")</f>
        <v/>
      </c>
      <c r="AG80" s="13" t="s">
        <v>317</v>
      </c>
      <c r="AH80" s="13" t="s">
        <v>317</v>
      </c>
      <c r="AI80"/>
      <c r="AK80">
        <f>+BASE_GRAL[[#This Row],[COMA ADJUDICADO]]+BASE_GRAL[[#This Row],[AVI ADJUDICADO]]</f>
        <v>0</v>
      </c>
      <c r="AL80" s="97" t="s">
        <v>1226</v>
      </c>
      <c r="AM80" s="13" t="s">
        <v>317</v>
      </c>
      <c r="AN80" s="94" t="s">
        <v>317</v>
      </c>
    </row>
    <row r="81" spans="1:40" x14ac:dyDescent="0.25">
      <c r="A81">
        <v>79</v>
      </c>
      <c r="B81" t="s">
        <v>1453</v>
      </c>
      <c r="C81">
        <f>IFERROR(INDEX(Tabla6[AÑO],MATCH(B81,Tabla6[Alias],0)),"")</f>
        <v>2017</v>
      </c>
      <c r="D81">
        <f>IFERROR(INDEX(Tabla6[DECRETO],MATCH(B81,Tabla6[Alias],0)),"")</f>
        <v>418</v>
      </c>
      <c r="E81" s="6">
        <f>IFERROR(INDEX(Tabla6[Fecha de Promulgación],MATCH(B81,Tabla6[Alias],0)),"")</f>
        <v>42920</v>
      </c>
      <c r="F81">
        <f>IFERROR(INDEX(Tabla6[Tabla],MATCH(B81,Tabla6[Alias],0)),"")</f>
        <v>17</v>
      </c>
      <c r="G81" s="5" t="str">
        <f>IFERROR(INDEX(Tabla6[Sistema],MATCH(B81,Tabla6[Alias],0)),"")</f>
        <v>E</v>
      </c>
      <c r="H81" s="5" t="str">
        <f>IFERROR(INDEX(Tabla6[ID_OBRA],MATCH(B81,Tabla6[Alias],0)),"")</f>
        <v>17_418_Z_OA_35</v>
      </c>
      <c r="I81" t="str">
        <f>IFERROR(INDEX(Tabla6[Nombre Obra],MATCH(B81,Tabla6[Alias],0)),"")</f>
        <v>Ampliación en S/E San Vicente de Tagua Tagua</v>
      </c>
      <c r="J81" t="str">
        <f>IFERROR(INDEX(Tabla6[Segmento],MATCH(B81,Tabla6[Alias],0)),"")</f>
        <v>ZONAL</v>
      </c>
      <c r="K81">
        <f>IFERROR(INDEX(Tabla6[Region],MATCH(B81,Tabla6[Alias],0)),"")</f>
        <v>0</v>
      </c>
      <c r="L81" s="13" t="str">
        <f>IFERROR(INDEX(Tabla6[Tipo de Obra],MATCH(B81,Tabla6[Alias],0))," ")</f>
        <v>OA</v>
      </c>
      <c r="M81" s="13" t="str">
        <f>IFERROR(INDEX(Tabla6[Tipo de Obras],MATCH(B81,Tabla6[Alias],0))," ")</f>
        <v>S/E</v>
      </c>
      <c r="N81" s="13">
        <f>IFERROR(INDEX(Tabla6[Plazo constructivo],MATCH(B81,Tabla6[Alias],0))," ")</f>
        <v>18</v>
      </c>
      <c r="O81" s="14">
        <f>IFERROR(INDEX(Tabla6[Fecha EO],MATCH(B81,Tabla6[Alias],0))," ")</f>
        <v>43617</v>
      </c>
      <c r="P81" s="95">
        <f>IFERROR(INDEX(Tabla6[AVI REF],MATCH(B81,Tabla6[Alias],0))," ")</f>
        <v>141400</v>
      </c>
      <c r="Q81" s="95">
        <f>IFERROR(INDEX(Tabla6[COMA REF],MATCH(B81,Tabla6[Alias],0))," ")</f>
        <v>22400</v>
      </c>
      <c r="R81" s="95">
        <f>IFERROR(INDEX(Tabla6[VATT REF '[AVI + COMA']],MATCH(B81,Tabla6[Alias],0))," ")</f>
        <v>163800</v>
      </c>
      <c r="S81" t="str">
        <f>IFERROR(INDEX(Tabla6[Propietario],MATCH(B81,Tabla6[Alias],0))," ")</f>
        <v>CGE S.A.</v>
      </c>
      <c r="T81" t="s">
        <v>44</v>
      </c>
      <c r="U81" t="s">
        <v>98</v>
      </c>
      <c r="V81" s="117" t="s">
        <v>1232</v>
      </c>
      <c r="W81" s="13" t="s">
        <v>155</v>
      </c>
      <c r="X81" s="106" t="s">
        <v>107</v>
      </c>
      <c r="Y81" s="117"/>
      <c r="Z81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2_PROC_OA_18_G04</v>
      </c>
      <c r="AA81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81" s="25"/>
      <c r="AC81" s="95"/>
      <c r="AD81" s="13" t="s">
        <v>317</v>
      </c>
      <c r="AE81" s="132" t="s">
        <v>317</v>
      </c>
      <c r="AF81" s="94" t="str">
        <f>IFERROR(INDEX(Tabla10[ID],MATCH(BASE_GRAL[[#This Row],[EMPRESA ADJUDICADA]],Tabla10[Alias],0)),"")</f>
        <v/>
      </c>
      <c r="AG81" s="13" t="s">
        <v>317</v>
      </c>
      <c r="AH81" s="13" t="s">
        <v>317</v>
      </c>
      <c r="AI81"/>
      <c r="AK81">
        <f>+BASE_GRAL[[#This Row],[COMA ADJUDICADO]]+BASE_GRAL[[#This Row],[AVI ADJUDICADO]]</f>
        <v>0</v>
      </c>
      <c r="AL81" s="97" t="s">
        <v>1226</v>
      </c>
      <c r="AM81" s="13" t="s">
        <v>317</v>
      </c>
      <c r="AN81" s="94" t="s">
        <v>317</v>
      </c>
    </row>
    <row r="82" spans="1:40" x14ac:dyDescent="0.25">
      <c r="A82">
        <v>80</v>
      </c>
      <c r="B82" t="s">
        <v>1467</v>
      </c>
      <c r="C82">
        <f>IFERROR(INDEX(Tabla6[AÑO],MATCH(B82,Tabla6[Alias],0)),"")</f>
        <v>2017</v>
      </c>
      <c r="D82">
        <f>IFERROR(INDEX(Tabla6[DECRETO],MATCH(B82,Tabla6[Alias],0)),"")</f>
        <v>418</v>
      </c>
      <c r="E82" s="6">
        <f>IFERROR(INDEX(Tabla6[Fecha de Promulgación],MATCH(B82,Tabla6[Alias],0)),"")</f>
        <v>42920</v>
      </c>
      <c r="F82">
        <f>IFERROR(INDEX(Tabla6[Tabla],MATCH(B82,Tabla6[Alias],0)),"")</f>
        <v>17</v>
      </c>
      <c r="G82" s="5" t="str">
        <f>IFERROR(INDEX(Tabla6[Sistema],MATCH(B82,Tabla6[Alias],0)),"")</f>
        <v>E</v>
      </c>
      <c r="H82" s="5" t="str">
        <f>IFERROR(INDEX(Tabla6[ID_OBRA],MATCH(B82,Tabla6[Alias],0)),"")</f>
        <v>17_418_Z_OA_49</v>
      </c>
      <c r="I82" t="str">
        <f>IFERROR(INDEX(Tabla6[Nombre Obra],MATCH(B82,Tabla6[Alias],0)),"")</f>
        <v>Ampliación en S/E San Carlos</v>
      </c>
      <c r="J82" t="str">
        <f>IFERROR(INDEX(Tabla6[Segmento],MATCH(B82,Tabla6[Alias],0)),"")</f>
        <v>ZONAL</v>
      </c>
      <c r="K82">
        <f>IFERROR(INDEX(Tabla6[Region],MATCH(B82,Tabla6[Alias],0)),"")</f>
        <v>0</v>
      </c>
      <c r="L82" s="13" t="str">
        <f>IFERROR(INDEX(Tabla6[Tipo de Obra],MATCH(B82,Tabla6[Alias],0))," ")</f>
        <v>OA</v>
      </c>
      <c r="M82" s="13" t="str">
        <f>IFERROR(INDEX(Tabla6[Tipo de Obras],MATCH(B82,Tabla6[Alias],0))," ")</f>
        <v>S/E</v>
      </c>
      <c r="N82" s="13">
        <f>IFERROR(INDEX(Tabla6[Plazo constructivo],MATCH(B82,Tabla6[Alias],0))," ")</f>
        <v>18</v>
      </c>
      <c r="O82" s="14">
        <f>IFERROR(INDEX(Tabla6[Fecha EO],MATCH(B82,Tabla6[Alias],0))," ")</f>
        <v>43617</v>
      </c>
      <c r="P82" s="95">
        <f>IFERROR(INDEX(Tabla6[AVI REF],MATCH(B82,Tabla6[Alias],0))," ")</f>
        <v>232700</v>
      </c>
      <c r="Q82" s="95">
        <f>IFERROR(INDEX(Tabla6[COMA REF],MATCH(B82,Tabla6[Alias],0))," ")</f>
        <v>36900</v>
      </c>
      <c r="R82" s="95">
        <f>IFERROR(INDEX(Tabla6[VATT REF '[AVI + COMA']],MATCH(B82,Tabla6[Alias],0))," ")</f>
        <v>269600</v>
      </c>
      <c r="S82" t="str">
        <f>IFERROR(INDEX(Tabla6[Propietario],MATCH(B82,Tabla6[Alias],0))," ")</f>
        <v>CGE S.A.</v>
      </c>
      <c r="T82" t="s">
        <v>44</v>
      </c>
      <c r="U82" t="s">
        <v>71</v>
      </c>
      <c r="V82" s="117" t="s">
        <v>1232</v>
      </c>
      <c r="W82" s="13" t="s">
        <v>155</v>
      </c>
      <c r="X82" s="106" t="s">
        <v>109</v>
      </c>
      <c r="Y82" s="117" t="s">
        <v>116</v>
      </c>
      <c r="Z82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2_PROC_OA_18_G05</v>
      </c>
      <c r="AA8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2_PROC_OA_18_G05_SG01</v>
      </c>
      <c r="AB82" s="25"/>
      <c r="AC82" s="95"/>
      <c r="AD82" s="13" t="s">
        <v>317</v>
      </c>
      <c r="AE82" s="132" t="s">
        <v>317</v>
      </c>
      <c r="AF82" s="94" t="str">
        <f>IFERROR(INDEX(Tabla10[ID],MATCH(BASE_GRAL[[#This Row],[EMPRESA ADJUDICADA]],Tabla10[Alias],0)),"")</f>
        <v/>
      </c>
      <c r="AG82" s="13" t="s">
        <v>317</v>
      </c>
      <c r="AH82" s="13" t="s">
        <v>317</v>
      </c>
      <c r="AI82"/>
      <c r="AK82">
        <f>+BASE_GRAL[[#This Row],[COMA ADJUDICADO]]+BASE_GRAL[[#This Row],[AVI ADJUDICADO]]</f>
        <v>0</v>
      </c>
      <c r="AL82" s="97" t="s">
        <v>1226</v>
      </c>
      <c r="AM82" s="13" t="s">
        <v>317</v>
      </c>
      <c r="AN82" s="94" t="s">
        <v>317</v>
      </c>
    </row>
    <row r="83" spans="1:40" x14ac:dyDescent="0.25">
      <c r="A83">
        <v>81</v>
      </c>
      <c r="B83" t="s">
        <v>1468</v>
      </c>
      <c r="C83">
        <f>IFERROR(INDEX(Tabla6[AÑO],MATCH(B83,Tabla6[Alias],0)),"")</f>
        <v>2017</v>
      </c>
      <c r="D83">
        <f>IFERROR(INDEX(Tabla6[DECRETO],MATCH(B83,Tabla6[Alias],0)),"")</f>
        <v>418</v>
      </c>
      <c r="E83" s="6">
        <f>IFERROR(INDEX(Tabla6[Fecha de Promulgación],MATCH(B83,Tabla6[Alias],0)),"")</f>
        <v>42920</v>
      </c>
      <c r="F83">
        <f>IFERROR(INDEX(Tabla6[Tabla],MATCH(B83,Tabla6[Alias],0)),"")</f>
        <v>17</v>
      </c>
      <c r="G83" s="5" t="str">
        <f>IFERROR(INDEX(Tabla6[Sistema],MATCH(B83,Tabla6[Alias],0)),"")</f>
        <v>E</v>
      </c>
      <c r="H83" s="5" t="str">
        <f>IFERROR(INDEX(Tabla6[ID_OBRA],MATCH(B83,Tabla6[Alias],0)),"")</f>
        <v>17_418_Z_OA_50</v>
      </c>
      <c r="I83" t="str">
        <f>IFERROR(INDEX(Tabla6[Nombre Obra],MATCH(B83,Tabla6[Alias],0)),"")</f>
        <v>Ampliación en S/E Parral</v>
      </c>
      <c r="J83" t="str">
        <f>IFERROR(INDEX(Tabla6[Segmento],MATCH(B83,Tabla6[Alias],0)),"")</f>
        <v>ZONAL</v>
      </c>
      <c r="K83">
        <f>IFERROR(INDEX(Tabla6[Region],MATCH(B83,Tabla6[Alias],0)),"")</f>
        <v>0</v>
      </c>
      <c r="L83" s="13" t="str">
        <f>IFERROR(INDEX(Tabla6[Tipo de Obra],MATCH(B83,Tabla6[Alias],0))," ")</f>
        <v>OA</v>
      </c>
      <c r="M83" s="13" t="str">
        <f>IFERROR(INDEX(Tabla6[Tipo de Obras],MATCH(B83,Tabla6[Alias],0))," ")</f>
        <v>S/E</v>
      </c>
      <c r="N83" s="13">
        <f>IFERROR(INDEX(Tabla6[Plazo constructivo],MATCH(B83,Tabla6[Alias],0))," ")</f>
        <v>24</v>
      </c>
      <c r="O83" s="14">
        <f>IFERROR(INDEX(Tabla6[Fecha EO],MATCH(B83,Tabla6[Alias],0))," ")</f>
        <v>43800</v>
      </c>
      <c r="P83" s="95">
        <f>IFERROR(INDEX(Tabla6[AVI REF],MATCH(B83,Tabla6[Alias],0))," ")</f>
        <v>48600</v>
      </c>
      <c r="Q83" s="95">
        <f>IFERROR(INDEX(Tabla6[COMA REF],MATCH(B83,Tabla6[Alias],0))," ")</f>
        <v>7700</v>
      </c>
      <c r="R83" s="95">
        <f>IFERROR(INDEX(Tabla6[VATT REF '[AVI + COMA']],MATCH(B83,Tabla6[Alias],0))," ")</f>
        <v>56300</v>
      </c>
      <c r="S83" t="str">
        <f>IFERROR(INDEX(Tabla6[Propietario],MATCH(B83,Tabla6[Alias],0))," ")</f>
        <v>CGE S.A.</v>
      </c>
      <c r="T83" t="s">
        <v>44</v>
      </c>
      <c r="U83" t="s">
        <v>86</v>
      </c>
      <c r="V83" s="117" t="s">
        <v>1232</v>
      </c>
      <c r="W83" s="13" t="s">
        <v>155</v>
      </c>
      <c r="X83" s="106" t="s">
        <v>109</v>
      </c>
      <c r="Y83" s="117" t="s">
        <v>116</v>
      </c>
      <c r="Z83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2_PROC_OA_18_G05</v>
      </c>
      <c r="AA8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2_PROC_OA_18_G05_SG01</v>
      </c>
      <c r="AB83" s="25"/>
      <c r="AC83" s="95"/>
      <c r="AD83" s="13" t="s">
        <v>317</v>
      </c>
      <c r="AE83" s="132" t="s">
        <v>317</v>
      </c>
      <c r="AF83" s="94" t="str">
        <f>IFERROR(INDEX(Tabla10[ID],MATCH(BASE_GRAL[[#This Row],[EMPRESA ADJUDICADA]],Tabla10[Alias],0)),"")</f>
        <v/>
      </c>
      <c r="AG83" s="13" t="s">
        <v>317</v>
      </c>
      <c r="AH83" s="13" t="s">
        <v>317</v>
      </c>
      <c r="AI83"/>
      <c r="AK83">
        <f>+BASE_GRAL[[#This Row],[COMA ADJUDICADO]]+BASE_GRAL[[#This Row],[AVI ADJUDICADO]]</f>
        <v>0</v>
      </c>
      <c r="AL83" s="97" t="s">
        <v>1226</v>
      </c>
      <c r="AM83" s="13" t="s">
        <v>317</v>
      </c>
      <c r="AN83" s="94" t="s">
        <v>317</v>
      </c>
    </row>
    <row r="84" spans="1:40" x14ac:dyDescent="0.25">
      <c r="A84">
        <v>82</v>
      </c>
      <c r="B84" t="s">
        <v>1469</v>
      </c>
      <c r="C84">
        <f>IFERROR(INDEX(Tabla6[AÑO],MATCH(B84,Tabla6[Alias],0)),"")</f>
        <v>2017</v>
      </c>
      <c r="D84">
        <f>IFERROR(INDEX(Tabla6[DECRETO],MATCH(B84,Tabla6[Alias],0)),"")</f>
        <v>418</v>
      </c>
      <c r="E84" s="6">
        <f>IFERROR(INDEX(Tabla6[Fecha de Promulgación],MATCH(B84,Tabla6[Alias],0)),"")</f>
        <v>42920</v>
      </c>
      <c r="F84">
        <f>IFERROR(INDEX(Tabla6[Tabla],MATCH(B84,Tabla6[Alias],0)),"")</f>
        <v>17</v>
      </c>
      <c r="G84" s="5" t="str">
        <f>IFERROR(INDEX(Tabla6[Sistema],MATCH(B84,Tabla6[Alias],0)),"")</f>
        <v>E</v>
      </c>
      <c r="H84" s="5" t="str">
        <f>IFERROR(INDEX(Tabla6[ID_OBRA],MATCH(B84,Tabla6[Alias],0)),"")</f>
        <v>17_418_Z_OA_51</v>
      </c>
      <c r="I84" t="str">
        <f>IFERROR(INDEX(Tabla6[Nombre Obra],MATCH(B84,Tabla6[Alias],0)),"")</f>
        <v>Aumento de capacidad de transformación en S/E Longaví</v>
      </c>
      <c r="J84" t="str">
        <f>IFERROR(INDEX(Tabla6[Segmento],MATCH(B84,Tabla6[Alias],0)),"")</f>
        <v>ZONAL</v>
      </c>
      <c r="K84">
        <f>IFERROR(INDEX(Tabla6[Region],MATCH(B84,Tabla6[Alias],0)),"")</f>
        <v>0</v>
      </c>
      <c r="L84" s="13" t="str">
        <f>IFERROR(INDEX(Tabla6[Tipo de Obra],MATCH(B84,Tabla6[Alias],0))," ")</f>
        <v>OA</v>
      </c>
      <c r="M84" s="13" t="str">
        <f>IFERROR(INDEX(Tabla6[Tipo de Obras],MATCH(B84,Tabla6[Alias],0))," ")</f>
        <v>S/E</v>
      </c>
      <c r="N84" s="13">
        <f>IFERROR(INDEX(Tabla6[Plazo constructivo],MATCH(B84,Tabla6[Alias],0))," ")</f>
        <v>18</v>
      </c>
      <c r="O84" s="14">
        <f>IFERROR(INDEX(Tabla6[Fecha EO],MATCH(B84,Tabla6[Alias],0))," ")</f>
        <v>43617</v>
      </c>
      <c r="P84" s="95">
        <f>IFERROR(INDEX(Tabla6[AVI REF],MATCH(B84,Tabla6[Alias],0))," ")</f>
        <v>75600</v>
      </c>
      <c r="Q84" s="95">
        <f>IFERROR(INDEX(Tabla6[COMA REF],MATCH(B84,Tabla6[Alias],0))," ")</f>
        <v>12000</v>
      </c>
      <c r="R84" s="95">
        <f>IFERROR(INDEX(Tabla6[VATT REF '[AVI + COMA']],MATCH(B84,Tabla6[Alias],0))," ")</f>
        <v>87600</v>
      </c>
      <c r="S84" t="str">
        <f>IFERROR(INDEX(Tabla6[Propietario],MATCH(B84,Tabla6[Alias],0))," ")</f>
        <v>Luz Parral</v>
      </c>
      <c r="T84" t="s">
        <v>89</v>
      </c>
      <c r="U84" t="s">
        <v>88</v>
      </c>
      <c r="V84" s="117" t="s">
        <v>1232</v>
      </c>
      <c r="W84" s="13" t="s">
        <v>155</v>
      </c>
      <c r="X84" s="106" t="s">
        <v>109</v>
      </c>
      <c r="Y84" s="117" t="s">
        <v>119</v>
      </c>
      <c r="Z84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2_PROC_OA_18_G05</v>
      </c>
      <c r="AA8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2_PROC_OA_18_G05_SG02</v>
      </c>
      <c r="AB84" s="25"/>
      <c r="AC84" s="95"/>
      <c r="AD84" s="13" t="s">
        <v>317</v>
      </c>
      <c r="AE84" s="132" t="s">
        <v>317</v>
      </c>
      <c r="AF84" s="94" t="str">
        <f>IFERROR(INDEX(Tabla10[ID],MATCH(BASE_GRAL[[#This Row],[EMPRESA ADJUDICADA]],Tabla10[Alias],0)),"")</f>
        <v/>
      </c>
      <c r="AG84" s="13" t="s">
        <v>317</v>
      </c>
      <c r="AH84" s="13" t="s">
        <v>317</v>
      </c>
      <c r="AI84"/>
      <c r="AK84">
        <f>+BASE_GRAL[[#This Row],[COMA ADJUDICADO]]+BASE_GRAL[[#This Row],[AVI ADJUDICADO]]</f>
        <v>0</v>
      </c>
      <c r="AL84" s="97" t="s">
        <v>1226</v>
      </c>
      <c r="AM84" s="13" t="s">
        <v>317</v>
      </c>
      <c r="AN84" s="94" t="s">
        <v>317</v>
      </c>
    </row>
    <row r="85" spans="1:40" x14ac:dyDescent="0.25">
      <c r="A85">
        <v>83</v>
      </c>
      <c r="B85" t="s">
        <v>1470</v>
      </c>
      <c r="C85">
        <f>IFERROR(INDEX(Tabla6[AÑO],MATCH(B85,Tabla6[Alias],0)),"")</f>
        <v>2017</v>
      </c>
      <c r="D85">
        <f>IFERROR(INDEX(Tabla6[DECRETO],MATCH(B85,Tabla6[Alias],0)),"")</f>
        <v>418</v>
      </c>
      <c r="E85" s="6">
        <f>IFERROR(INDEX(Tabla6[Fecha de Promulgación],MATCH(B85,Tabla6[Alias],0)),"")</f>
        <v>42920</v>
      </c>
      <c r="F85">
        <f>IFERROR(INDEX(Tabla6[Tabla],MATCH(B85,Tabla6[Alias],0)),"")</f>
        <v>17</v>
      </c>
      <c r="G85" s="5" t="str">
        <f>IFERROR(INDEX(Tabla6[Sistema],MATCH(B85,Tabla6[Alias],0)),"")</f>
        <v>E</v>
      </c>
      <c r="H85" s="5" t="str">
        <f>IFERROR(INDEX(Tabla6[ID_OBRA],MATCH(B85,Tabla6[Alias],0)),"")</f>
        <v>17_418_Z_OA_52</v>
      </c>
      <c r="I85" t="str">
        <f>IFERROR(INDEX(Tabla6[Nombre Obra],MATCH(B85,Tabla6[Alias],0)),"")</f>
        <v>Seccionamiento en S/E San Gregorio</v>
      </c>
      <c r="J85" t="str">
        <f>IFERROR(INDEX(Tabla6[Segmento],MATCH(B85,Tabla6[Alias],0)),"")</f>
        <v>ZONAL</v>
      </c>
      <c r="K85">
        <f>IFERROR(INDEX(Tabla6[Region],MATCH(B85,Tabla6[Alias],0)),"")</f>
        <v>0</v>
      </c>
      <c r="L85" s="13" t="str">
        <f>IFERROR(INDEX(Tabla6[Tipo de Obra],MATCH(B85,Tabla6[Alias],0))," ")</f>
        <v>OA</v>
      </c>
      <c r="M85" s="13" t="str">
        <f>IFERROR(INDEX(Tabla6[Tipo de Obras],MATCH(B85,Tabla6[Alias],0))," ")</f>
        <v>S/E</v>
      </c>
      <c r="N85" s="13">
        <f>IFERROR(INDEX(Tabla6[Plazo constructivo],MATCH(B85,Tabla6[Alias],0))," ")</f>
        <v>18</v>
      </c>
      <c r="O85" s="14">
        <f>IFERROR(INDEX(Tabla6[Fecha EO],MATCH(B85,Tabla6[Alias],0))," ")</f>
        <v>43617</v>
      </c>
      <c r="P85" s="95">
        <f>IFERROR(INDEX(Tabla6[AVI REF],MATCH(B85,Tabla6[Alias],0))," ")</f>
        <v>60700</v>
      </c>
      <c r="Q85" s="95">
        <f>IFERROR(INDEX(Tabla6[COMA REF],MATCH(B85,Tabla6[Alias],0))," ")</f>
        <v>9600</v>
      </c>
      <c r="R85" s="95">
        <f>IFERROR(INDEX(Tabla6[VATT REF '[AVI + COMA']],MATCH(B85,Tabla6[Alias],0))," ")</f>
        <v>70300</v>
      </c>
      <c r="S85" t="str">
        <f>IFERROR(INDEX(Tabla6[Propietario],MATCH(B85,Tabla6[Alias],0))," ")</f>
        <v>CGE S.A.</v>
      </c>
      <c r="T85" t="s">
        <v>54</v>
      </c>
      <c r="U85" t="s">
        <v>91</v>
      </c>
      <c r="V85" s="117" t="s">
        <v>1232</v>
      </c>
      <c r="W85" s="13" t="s">
        <v>155</v>
      </c>
      <c r="X85" s="106" t="s">
        <v>109</v>
      </c>
      <c r="Y85" s="117" t="s">
        <v>119</v>
      </c>
      <c r="Z85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2_PROC_OA_18_G05</v>
      </c>
      <c r="AA8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2_PROC_OA_18_G05_SG02</v>
      </c>
      <c r="AB85" s="25"/>
      <c r="AC85" s="95"/>
      <c r="AD85" s="13" t="s">
        <v>317</v>
      </c>
      <c r="AE85" s="132" t="s">
        <v>317</v>
      </c>
      <c r="AF85" s="94" t="str">
        <f>IFERROR(INDEX(Tabla10[ID],MATCH(BASE_GRAL[[#This Row],[EMPRESA ADJUDICADA]],Tabla10[Alias],0)),"")</f>
        <v/>
      </c>
      <c r="AG85" s="13" t="s">
        <v>317</v>
      </c>
      <c r="AH85" s="13" t="s">
        <v>317</v>
      </c>
      <c r="AI85"/>
      <c r="AK85">
        <f>+BASE_GRAL[[#This Row],[COMA ADJUDICADO]]+BASE_GRAL[[#This Row],[AVI ADJUDICADO]]</f>
        <v>0</v>
      </c>
      <c r="AL85" s="97" t="s">
        <v>1226</v>
      </c>
      <c r="AM85" s="13" t="s">
        <v>317</v>
      </c>
      <c r="AN85" s="94" t="s">
        <v>317</v>
      </c>
    </row>
    <row r="86" spans="1:40" x14ac:dyDescent="0.25">
      <c r="A86">
        <v>84</v>
      </c>
      <c r="B86" t="s">
        <v>1471</v>
      </c>
      <c r="C86">
        <f>IFERROR(INDEX(Tabla6[AÑO],MATCH(B86,Tabla6[Alias],0)),"")</f>
        <v>2017</v>
      </c>
      <c r="D86">
        <f>IFERROR(INDEX(Tabla6[DECRETO],MATCH(B86,Tabla6[Alias],0)),"")</f>
        <v>418</v>
      </c>
      <c r="E86" s="6">
        <f>IFERROR(INDEX(Tabla6[Fecha de Promulgación],MATCH(B86,Tabla6[Alias],0)),"")</f>
        <v>42920</v>
      </c>
      <c r="F86">
        <f>IFERROR(INDEX(Tabla6[Tabla],MATCH(B86,Tabla6[Alias],0)),"")</f>
        <v>17</v>
      </c>
      <c r="G86" s="5" t="str">
        <f>IFERROR(INDEX(Tabla6[Sistema],MATCH(B86,Tabla6[Alias],0)),"")</f>
        <v>E</v>
      </c>
      <c r="H86" s="5" t="str">
        <f>IFERROR(INDEX(Tabla6[ID_OBRA],MATCH(B86,Tabla6[Alias],0)),"")</f>
        <v>17_418_Z_OA_53</v>
      </c>
      <c r="I86" t="str">
        <f>IFERROR(INDEX(Tabla6[Nombre Obra],MATCH(B86,Tabla6[Alias],0)),"")</f>
        <v>Ampliación en S/E San Gregorio</v>
      </c>
      <c r="J86" t="str">
        <f>IFERROR(INDEX(Tabla6[Segmento],MATCH(B86,Tabla6[Alias],0)),"")</f>
        <v>ZONAL</v>
      </c>
      <c r="K86">
        <f>IFERROR(INDEX(Tabla6[Region],MATCH(B86,Tabla6[Alias],0)),"")</f>
        <v>0</v>
      </c>
      <c r="L86" s="13" t="str">
        <f>IFERROR(INDEX(Tabla6[Tipo de Obra],MATCH(B86,Tabla6[Alias],0))," ")</f>
        <v>OA</v>
      </c>
      <c r="M86" s="13" t="str">
        <f>IFERROR(INDEX(Tabla6[Tipo de Obras],MATCH(B86,Tabla6[Alias],0))," ")</f>
        <v>S/E</v>
      </c>
      <c r="N86" s="13">
        <f>IFERROR(INDEX(Tabla6[Plazo constructivo],MATCH(B86,Tabla6[Alias],0))," ")</f>
        <v>18</v>
      </c>
      <c r="O86" s="14">
        <f>IFERROR(INDEX(Tabla6[Fecha EO],MATCH(B86,Tabla6[Alias],0))," ")</f>
        <v>43617</v>
      </c>
      <c r="P86" s="95">
        <f>IFERROR(INDEX(Tabla6[AVI REF],MATCH(B86,Tabla6[Alias],0))," ")</f>
        <v>118900</v>
      </c>
      <c r="Q86" s="95">
        <f>IFERROR(INDEX(Tabla6[COMA REF],MATCH(B86,Tabla6[Alias],0))," ")</f>
        <v>18900</v>
      </c>
      <c r="R86" s="95">
        <f>IFERROR(INDEX(Tabla6[VATT REF '[AVI + COMA']],MATCH(B86,Tabla6[Alias],0))," ")</f>
        <v>137800</v>
      </c>
      <c r="S86" t="str">
        <f>IFERROR(INDEX(Tabla6[Propietario],MATCH(B86,Tabla6[Alias],0))," ")</f>
        <v>Luz Parral</v>
      </c>
      <c r="T86" t="s">
        <v>44</v>
      </c>
      <c r="U86" t="s">
        <v>91</v>
      </c>
      <c r="V86" s="117" t="s">
        <v>1232</v>
      </c>
      <c r="W86" s="13" t="s">
        <v>155</v>
      </c>
      <c r="X86" s="106" t="s">
        <v>109</v>
      </c>
      <c r="Y86" s="117" t="s">
        <v>119</v>
      </c>
      <c r="Z86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2_PROC_OA_18_G05</v>
      </c>
      <c r="AA8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2_PROC_OA_18_G05_SG02</v>
      </c>
      <c r="AB86" s="25"/>
      <c r="AC86" s="95"/>
      <c r="AD86" s="13" t="s">
        <v>317</v>
      </c>
      <c r="AE86" s="132" t="s">
        <v>317</v>
      </c>
      <c r="AF86" s="94" t="str">
        <f>IFERROR(INDEX(Tabla10[ID],MATCH(BASE_GRAL[[#This Row],[EMPRESA ADJUDICADA]],Tabla10[Alias],0)),"")</f>
        <v/>
      </c>
      <c r="AG86" s="13" t="s">
        <v>317</v>
      </c>
      <c r="AH86" s="13" t="s">
        <v>317</v>
      </c>
      <c r="AI86"/>
      <c r="AK86">
        <f>+BASE_GRAL[[#This Row],[COMA ADJUDICADO]]+BASE_GRAL[[#This Row],[AVI ADJUDICADO]]</f>
        <v>0</v>
      </c>
      <c r="AL86" s="97" t="s">
        <v>1226</v>
      </c>
      <c r="AM86" s="13" t="s">
        <v>317</v>
      </c>
      <c r="AN86" s="94" t="s">
        <v>317</v>
      </c>
    </row>
    <row r="87" spans="1:40" x14ac:dyDescent="0.25">
      <c r="A87">
        <v>86</v>
      </c>
      <c r="B87" t="s">
        <v>1473</v>
      </c>
      <c r="C87">
        <f>IFERROR(INDEX(Tabla6[AÑO],MATCH(B87,Tabla6[Alias],0)),"")</f>
        <v>2017</v>
      </c>
      <c r="D87">
        <f>IFERROR(INDEX(Tabla6[DECRETO],MATCH(B87,Tabla6[Alias],0)),"")</f>
        <v>418</v>
      </c>
      <c r="E87" s="6">
        <f>IFERROR(INDEX(Tabla6[Fecha de Promulgación],MATCH(B87,Tabla6[Alias],0)),"")</f>
        <v>42920</v>
      </c>
      <c r="F87">
        <f>IFERROR(INDEX(Tabla6[Tabla],MATCH(B87,Tabla6[Alias],0)),"")</f>
        <v>17</v>
      </c>
      <c r="G87" s="5" t="str">
        <f>IFERROR(INDEX(Tabla6[Sistema],MATCH(B87,Tabla6[Alias],0)),"")</f>
        <v>E</v>
      </c>
      <c r="H87" s="5" t="str">
        <f>IFERROR(INDEX(Tabla6[ID_OBRA],MATCH(B87,Tabla6[Alias],0)),"")</f>
        <v>17_418_Z_OA_55</v>
      </c>
      <c r="I87" t="str">
        <f>IFERROR(INDEX(Tabla6[Nombre Obra],MATCH(B87,Tabla6[Alias],0)),"")</f>
        <v>Cambio circuitos 1x154 kV Charrua - Tap Chillan y 1x154 kV Charrúa - Monterrico</v>
      </c>
      <c r="J87" t="str">
        <f>IFERROR(INDEX(Tabla6[Segmento],MATCH(B87,Tabla6[Alias],0)),"")</f>
        <v>ZONAL</v>
      </c>
      <c r="K87">
        <f>IFERROR(INDEX(Tabla6[Region],MATCH(B87,Tabla6[Alias],0)),"")</f>
        <v>0</v>
      </c>
      <c r="L87" s="13" t="str">
        <f>IFERROR(INDEX(Tabla6[Tipo de Obra],MATCH(B87,Tabla6[Alias],0))," ")</f>
        <v>OA</v>
      </c>
      <c r="M87" s="13" t="str">
        <f>IFERROR(INDEX(Tabla6[Tipo de Obras],MATCH(B87,Tabla6[Alias],0))," ")</f>
        <v>S/E</v>
      </c>
      <c r="N87" s="13">
        <f>IFERROR(INDEX(Tabla6[Plazo constructivo],MATCH(B87,Tabla6[Alias],0))," ")</f>
        <v>24</v>
      </c>
      <c r="O87" s="14">
        <f>IFERROR(INDEX(Tabla6[Fecha EO],MATCH(B87,Tabla6[Alias],0))," ")</f>
        <v>43800</v>
      </c>
      <c r="P87" s="95">
        <f>IFERROR(INDEX(Tabla6[AVI REF],MATCH(B87,Tabla6[Alias],0))," ")</f>
        <v>245100</v>
      </c>
      <c r="Q87" s="95">
        <f>IFERROR(INDEX(Tabla6[COMA REF],MATCH(B87,Tabla6[Alias],0))," ")</f>
        <v>38900</v>
      </c>
      <c r="R87" s="95">
        <f>IFERROR(INDEX(Tabla6[VATT REF '[AVI + COMA']],MATCH(B87,Tabla6[Alias],0))," ")</f>
        <v>284000</v>
      </c>
      <c r="S87" t="str">
        <f>IFERROR(INDEX(Tabla6[Propietario],MATCH(B87,Tabla6[Alias],0))," ")</f>
        <v>Transelec S.A.</v>
      </c>
      <c r="V87" s="117" t="s">
        <v>1232</v>
      </c>
      <c r="W87" s="13" t="s">
        <v>155</v>
      </c>
      <c r="X87" s="106" t="s">
        <v>109</v>
      </c>
      <c r="Y87" s="117" t="s">
        <v>120</v>
      </c>
      <c r="Z87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2_PROC_OA_18_G05</v>
      </c>
      <c r="AA8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2_PROC_OA_18_G05_SG03</v>
      </c>
      <c r="AB87" s="25"/>
      <c r="AC87" s="95"/>
      <c r="AD87" s="13" t="s">
        <v>317</v>
      </c>
      <c r="AE87" s="132" t="s">
        <v>317</v>
      </c>
      <c r="AF87" s="94" t="str">
        <f>IFERROR(INDEX(Tabla10[ID],MATCH(BASE_GRAL[[#This Row],[EMPRESA ADJUDICADA]],Tabla10[Alias],0)),"")</f>
        <v/>
      </c>
      <c r="AG87" s="13" t="s">
        <v>317</v>
      </c>
      <c r="AH87" s="13" t="s">
        <v>317</v>
      </c>
      <c r="AI87"/>
      <c r="AK87">
        <f>+BASE_GRAL[[#This Row],[COMA ADJUDICADO]]+BASE_GRAL[[#This Row],[AVI ADJUDICADO]]</f>
        <v>0</v>
      </c>
      <c r="AL87" s="96" t="s">
        <v>1224</v>
      </c>
      <c r="AM87" s="13" t="s">
        <v>317</v>
      </c>
      <c r="AN87" s="94" t="s">
        <v>317</v>
      </c>
    </row>
    <row r="88" spans="1:40" x14ac:dyDescent="0.25">
      <c r="A88">
        <v>87</v>
      </c>
      <c r="B88" t="s">
        <v>1474</v>
      </c>
      <c r="C88">
        <f>IFERROR(INDEX(Tabla6[AÑO],MATCH(B88,Tabla6[Alias],0)),"")</f>
        <v>2017</v>
      </c>
      <c r="D88">
        <f>IFERROR(INDEX(Tabla6[DECRETO],MATCH(B88,Tabla6[Alias],0)),"")</f>
        <v>418</v>
      </c>
      <c r="E88" s="6">
        <f>IFERROR(INDEX(Tabla6[Fecha de Promulgación],MATCH(B88,Tabla6[Alias],0)),"")</f>
        <v>42920</v>
      </c>
      <c r="F88">
        <f>IFERROR(INDEX(Tabla6[Tabla],MATCH(B88,Tabla6[Alias],0)),"")</f>
        <v>17</v>
      </c>
      <c r="G88" s="5" t="str">
        <f>IFERROR(INDEX(Tabla6[Sistema],MATCH(B88,Tabla6[Alias],0)),"")</f>
        <v>E</v>
      </c>
      <c r="H88" s="5" t="str">
        <f>IFERROR(INDEX(Tabla6[ID_OBRA],MATCH(B88,Tabla6[Alias],0)),"")</f>
        <v>17_418_Z_OA_56</v>
      </c>
      <c r="I88" t="str">
        <f>IFERROR(INDEX(Tabla6[Nombre Obra],MATCH(B88,Tabla6[Alias],0)),"")</f>
        <v>Ampliación en S/E Monterrico</v>
      </c>
      <c r="J88" t="str">
        <f>IFERROR(INDEX(Tabla6[Segmento],MATCH(B88,Tabla6[Alias],0)),"")</f>
        <v>ZONAL</v>
      </c>
      <c r="K88">
        <f>IFERROR(INDEX(Tabla6[Region],MATCH(B88,Tabla6[Alias],0)),"")</f>
        <v>0</v>
      </c>
      <c r="L88" s="13" t="str">
        <f>IFERROR(INDEX(Tabla6[Tipo de Obra],MATCH(B88,Tabla6[Alias],0))," ")</f>
        <v>OA</v>
      </c>
      <c r="M88" s="13" t="str">
        <f>IFERROR(INDEX(Tabla6[Tipo de Obras],MATCH(B88,Tabla6[Alias],0))," ")</f>
        <v>S/E</v>
      </c>
      <c r="N88" s="13">
        <f>IFERROR(INDEX(Tabla6[Plazo constructivo],MATCH(B88,Tabla6[Alias],0))," ")</f>
        <v>24</v>
      </c>
      <c r="O88" s="14">
        <f>IFERROR(INDEX(Tabla6[Fecha EO],MATCH(B88,Tabla6[Alias],0))," ")</f>
        <v>43800</v>
      </c>
      <c r="P88" s="95">
        <f>IFERROR(INDEX(Tabla6[AVI REF],MATCH(B88,Tabla6[Alias],0))," ")</f>
        <v>20300</v>
      </c>
      <c r="Q88" s="95">
        <f>IFERROR(INDEX(Tabla6[COMA REF],MATCH(B88,Tabla6[Alias],0))," ")</f>
        <v>3200</v>
      </c>
      <c r="R88" s="95">
        <f>IFERROR(INDEX(Tabla6[VATT REF '[AVI + COMA']],MATCH(B88,Tabla6[Alias],0))," ")</f>
        <v>23500</v>
      </c>
      <c r="S88" t="str">
        <f>IFERROR(INDEX(Tabla6[Propietario],MATCH(B88,Tabla6[Alias],0))," ")</f>
        <v>CGE S.A.</v>
      </c>
      <c r="T88" t="s">
        <v>44</v>
      </c>
      <c r="U88" t="s">
        <v>94</v>
      </c>
      <c r="V88" s="117" t="s">
        <v>1232</v>
      </c>
      <c r="W88" s="13" t="s">
        <v>155</v>
      </c>
      <c r="X88" s="106" t="s">
        <v>109</v>
      </c>
      <c r="Y88" s="117" t="s">
        <v>120</v>
      </c>
      <c r="Z88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2_PROC_OA_18_G05</v>
      </c>
      <c r="AA8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2_PROC_OA_18_G05_SG03</v>
      </c>
      <c r="AB88" s="25"/>
      <c r="AC88" s="95"/>
      <c r="AD88" s="13" t="s">
        <v>317</v>
      </c>
      <c r="AE88" s="132" t="s">
        <v>317</v>
      </c>
      <c r="AF88" s="94" t="str">
        <f>IFERROR(INDEX(Tabla10[ID],MATCH(BASE_GRAL[[#This Row],[EMPRESA ADJUDICADA]],Tabla10[Alias],0)),"")</f>
        <v/>
      </c>
      <c r="AG88" s="13" t="s">
        <v>317</v>
      </c>
      <c r="AH88" s="13" t="s">
        <v>317</v>
      </c>
      <c r="AI88"/>
      <c r="AK88">
        <f>+BASE_GRAL[[#This Row],[COMA ADJUDICADO]]+BASE_GRAL[[#This Row],[AVI ADJUDICADO]]</f>
        <v>0</v>
      </c>
      <c r="AL88" s="96" t="s">
        <v>1224</v>
      </c>
      <c r="AM88" s="13" t="s">
        <v>317</v>
      </c>
      <c r="AN88" s="94" t="s">
        <v>317</v>
      </c>
    </row>
    <row r="89" spans="1:40" x14ac:dyDescent="0.25">
      <c r="A89">
        <v>85</v>
      </c>
      <c r="B89" t="s">
        <v>1472</v>
      </c>
      <c r="C89">
        <f>IFERROR(INDEX(Tabla6[AÑO],MATCH(B89,Tabla6[Alias],0)),"")</f>
        <v>2017</v>
      </c>
      <c r="D89">
        <f>IFERROR(INDEX(Tabla6[DECRETO],MATCH(B89,Tabla6[Alias],0)),"")</f>
        <v>418</v>
      </c>
      <c r="E89" s="6">
        <f>IFERROR(INDEX(Tabla6[Fecha de Promulgación],MATCH(B89,Tabla6[Alias],0)),"")</f>
        <v>42920</v>
      </c>
      <c r="F89">
        <f>IFERROR(INDEX(Tabla6[Tabla],MATCH(B89,Tabla6[Alias],0)),"")</f>
        <v>17</v>
      </c>
      <c r="G89" s="5" t="str">
        <f>IFERROR(INDEX(Tabla6[Sistema],MATCH(B89,Tabla6[Alias],0)),"")</f>
        <v>E</v>
      </c>
      <c r="H89" s="5" t="str">
        <f>IFERROR(INDEX(Tabla6[ID_OBRA],MATCH(B89,Tabla6[Alias],0)),"")</f>
        <v>17_418_Z_OA_54</v>
      </c>
      <c r="I89" t="str">
        <f>IFERROR(INDEX(Tabla6[Nombre Obra],MATCH(B89,Tabla6[Alias],0)),"")</f>
        <v>Ampliación en S/E Avellano</v>
      </c>
      <c r="J89" t="str">
        <f>IFERROR(INDEX(Tabla6[Segmento],MATCH(B89,Tabla6[Alias],0)),"")</f>
        <v>ZONAL</v>
      </c>
      <c r="K89">
        <f>IFERROR(INDEX(Tabla6[Region],MATCH(B89,Tabla6[Alias],0)),"")</f>
        <v>0</v>
      </c>
      <c r="L89" s="13" t="str">
        <f>IFERROR(INDEX(Tabla6[Tipo de Obra],MATCH(B89,Tabla6[Alias],0))," ")</f>
        <v>OA</v>
      </c>
      <c r="M89" s="13" t="str">
        <f>IFERROR(INDEX(Tabla6[Tipo de Obras],MATCH(B89,Tabla6[Alias],0))," ")</f>
        <v>S/E</v>
      </c>
      <c r="N89" s="13">
        <f>IFERROR(INDEX(Tabla6[Plazo constructivo],MATCH(B89,Tabla6[Alias],0))," ")</f>
        <v>18</v>
      </c>
      <c r="O89" s="14">
        <f>IFERROR(INDEX(Tabla6[Fecha EO],MATCH(B89,Tabla6[Alias],0))," ")</f>
        <v>43617</v>
      </c>
      <c r="P89" s="95">
        <f>IFERROR(INDEX(Tabla6[AVI REF],MATCH(B89,Tabla6[Alias],0))," ")</f>
        <v>306600</v>
      </c>
      <c r="Q89" s="95">
        <f>IFERROR(INDEX(Tabla6[COMA REF],MATCH(B89,Tabla6[Alias],0))," ")</f>
        <v>48700</v>
      </c>
      <c r="R89" s="95">
        <f>IFERROR(INDEX(Tabla6[VATT REF '[AVI + COMA']],MATCH(B89,Tabla6[Alias],0))," ")</f>
        <v>355300</v>
      </c>
      <c r="S89" t="str">
        <f>IFERROR(INDEX(Tabla6[Propietario],MATCH(B89,Tabla6[Alias],0))," ")</f>
        <v>CGE S.A.</v>
      </c>
      <c r="T89" t="s">
        <v>44</v>
      </c>
      <c r="U89" t="s">
        <v>78</v>
      </c>
      <c r="V89" s="117" t="s">
        <v>1232</v>
      </c>
      <c r="W89" s="13" t="s">
        <v>155</v>
      </c>
      <c r="X89" s="106" t="s">
        <v>108</v>
      </c>
      <c r="Y89" s="117"/>
      <c r="Z89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2_PROC_OA_18_G06</v>
      </c>
      <c r="AA8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89" s="25"/>
      <c r="AC89" s="95"/>
      <c r="AD89" s="13" t="s">
        <v>317</v>
      </c>
      <c r="AE89" s="132" t="s">
        <v>317</v>
      </c>
      <c r="AF89" s="94" t="str">
        <f>IFERROR(INDEX(Tabla10[ID],MATCH(BASE_GRAL[[#This Row],[EMPRESA ADJUDICADA]],Tabla10[Alias],0)),"")</f>
        <v/>
      </c>
      <c r="AG89" s="13" t="s">
        <v>317</v>
      </c>
      <c r="AH89" s="13" t="s">
        <v>317</v>
      </c>
      <c r="AI89"/>
      <c r="AK89">
        <f>+BASE_GRAL[[#This Row],[COMA ADJUDICADO]]+BASE_GRAL[[#This Row],[AVI ADJUDICADO]]</f>
        <v>0</v>
      </c>
      <c r="AL89" s="97" t="s">
        <v>1226</v>
      </c>
      <c r="AM89" s="13" t="s">
        <v>317</v>
      </c>
      <c r="AN89" s="94" t="s">
        <v>317</v>
      </c>
    </row>
    <row r="90" spans="1:40" x14ac:dyDescent="0.25">
      <c r="A90">
        <v>89</v>
      </c>
      <c r="B90" t="s">
        <v>1481</v>
      </c>
      <c r="C90">
        <f>IFERROR(INDEX(Tabla6[AÑO],MATCH(B90,Tabla6[Alias],0)),"")</f>
        <v>2017</v>
      </c>
      <c r="D90">
        <f>IFERROR(INDEX(Tabla6[DECRETO],MATCH(B90,Tabla6[Alias],0)),"")</f>
        <v>418</v>
      </c>
      <c r="E90" s="6">
        <f>IFERROR(INDEX(Tabla6[Fecha de Promulgación],MATCH(B90,Tabla6[Alias],0)),"")</f>
        <v>42920</v>
      </c>
      <c r="F90">
        <f>IFERROR(INDEX(Tabla6[Tabla],MATCH(B90,Tabla6[Alias],0)),"")</f>
        <v>17</v>
      </c>
      <c r="G90" s="5" t="str">
        <f>IFERROR(INDEX(Tabla6[Sistema],MATCH(B90,Tabla6[Alias],0)),"")</f>
        <v>E</v>
      </c>
      <c r="H90" s="5" t="str">
        <f>IFERROR(INDEX(Tabla6[ID_OBRA],MATCH(B90,Tabla6[Alias],0)),"")</f>
        <v>17_418_Z_OA_63</v>
      </c>
      <c r="I90" t="str">
        <f>IFERROR(INDEX(Tabla6[Nombre Obra],MATCH(B90,Tabla6[Alias],0)),"")</f>
        <v>Ampliación en S/E Curacautín</v>
      </c>
      <c r="J90" t="str">
        <f>IFERROR(INDEX(Tabla6[Segmento],MATCH(B90,Tabla6[Alias],0)),"")</f>
        <v>ZONAL</v>
      </c>
      <c r="K90">
        <f>IFERROR(INDEX(Tabla6[Region],MATCH(B90,Tabla6[Alias],0)),"")</f>
        <v>0</v>
      </c>
      <c r="L90" s="13" t="str">
        <f>IFERROR(INDEX(Tabla6[Tipo de Obra],MATCH(B90,Tabla6[Alias],0))," ")</f>
        <v>OA</v>
      </c>
      <c r="M90" s="13" t="str">
        <f>IFERROR(INDEX(Tabla6[Tipo de Obras],MATCH(B90,Tabla6[Alias],0))," ")</f>
        <v>S/E</v>
      </c>
      <c r="N90" s="13">
        <f>IFERROR(INDEX(Tabla6[Plazo constructivo],MATCH(B90,Tabla6[Alias],0))," ")</f>
        <v>18</v>
      </c>
      <c r="O90" s="14">
        <f>IFERROR(INDEX(Tabla6[Fecha EO],MATCH(B90,Tabla6[Alias],0))," ")</f>
        <v>43617</v>
      </c>
      <c r="P90" s="95">
        <f>IFERROR(INDEX(Tabla6[AVI REF],MATCH(B90,Tabla6[Alias],0))," ")</f>
        <v>197500</v>
      </c>
      <c r="Q90" s="95">
        <f>IFERROR(INDEX(Tabla6[COMA REF],MATCH(B90,Tabla6[Alias],0))," ")</f>
        <v>31300</v>
      </c>
      <c r="R90" s="95">
        <f>IFERROR(INDEX(Tabla6[VATT REF '[AVI + COMA']],MATCH(B90,Tabla6[Alias],0))," ")</f>
        <v>228800</v>
      </c>
      <c r="S90" t="str">
        <f>IFERROR(INDEX(Tabla6[Propietario],MATCH(B90,Tabla6[Alias],0))," ")</f>
        <v>CGE S.A.</v>
      </c>
      <c r="T90" t="s">
        <v>44</v>
      </c>
      <c r="U90" t="s">
        <v>77</v>
      </c>
      <c r="V90" s="117" t="s">
        <v>1232</v>
      </c>
      <c r="W90" s="13" t="s">
        <v>155</v>
      </c>
      <c r="X90" s="106" t="s">
        <v>108</v>
      </c>
      <c r="Y90" s="117"/>
      <c r="Z90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2_PROC_OA_18_G06</v>
      </c>
      <c r="AA9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90" s="25"/>
      <c r="AC90" s="95"/>
      <c r="AD90" s="13" t="s">
        <v>317</v>
      </c>
      <c r="AE90" s="132" t="s">
        <v>317</v>
      </c>
      <c r="AF90" s="94" t="str">
        <f>IFERROR(INDEX(Tabla10[ID],MATCH(BASE_GRAL[[#This Row],[EMPRESA ADJUDICADA]],Tabla10[Alias],0)),"")</f>
        <v/>
      </c>
      <c r="AG90" s="13" t="s">
        <v>317</v>
      </c>
      <c r="AH90" s="13" t="s">
        <v>317</v>
      </c>
      <c r="AI90"/>
      <c r="AK90">
        <f>+BASE_GRAL[[#This Row],[COMA ADJUDICADO]]+BASE_GRAL[[#This Row],[AVI ADJUDICADO]]</f>
        <v>0</v>
      </c>
      <c r="AL90" s="97" t="s">
        <v>1226</v>
      </c>
      <c r="AM90" s="13" t="s">
        <v>317</v>
      </c>
      <c r="AN90" s="94" t="s">
        <v>317</v>
      </c>
    </row>
    <row r="91" spans="1:40" x14ac:dyDescent="0.25">
      <c r="A91">
        <v>90</v>
      </c>
      <c r="B91" t="s">
        <v>1482</v>
      </c>
      <c r="C91">
        <f>IFERROR(INDEX(Tabla6[AÑO],MATCH(B91,Tabla6[Alias],0)),"")</f>
        <v>2017</v>
      </c>
      <c r="D91">
        <f>IFERROR(INDEX(Tabla6[DECRETO],MATCH(B91,Tabla6[Alias],0)),"")</f>
        <v>418</v>
      </c>
      <c r="E91" s="6">
        <f>IFERROR(INDEX(Tabla6[Fecha de Promulgación],MATCH(B91,Tabla6[Alias],0)),"")</f>
        <v>42920</v>
      </c>
      <c r="F91">
        <f>IFERROR(INDEX(Tabla6[Tabla],MATCH(B91,Tabla6[Alias],0)),"")</f>
        <v>17</v>
      </c>
      <c r="G91" s="5" t="str">
        <f>IFERROR(INDEX(Tabla6[Sistema],MATCH(B91,Tabla6[Alias],0)),"")</f>
        <v>E</v>
      </c>
      <c r="H91" s="5" t="str">
        <f>IFERROR(INDEX(Tabla6[ID_OBRA],MATCH(B91,Tabla6[Alias],0)),"")</f>
        <v>17_418_Z_OA_64</v>
      </c>
      <c r="I91" t="str">
        <f>IFERROR(INDEX(Tabla6[Nombre Obra],MATCH(B91,Tabla6[Alias],0)),"")</f>
        <v>Ampliación en S/E Collipulli</v>
      </c>
      <c r="J91" t="str">
        <f>IFERROR(INDEX(Tabla6[Segmento],MATCH(B91,Tabla6[Alias],0)),"")</f>
        <v>ZONAL</v>
      </c>
      <c r="K91">
        <f>IFERROR(INDEX(Tabla6[Region],MATCH(B91,Tabla6[Alias],0)),"")</f>
        <v>0</v>
      </c>
      <c r="L91" s="13" t="str">
        <f>IFERROR(INDEX(Tabla6[Tipo de Obra],MATCH(B91,Tabla6[Alias],0))," ")</f>
        <v>OA</v>
      </c>
      <c r="M91" s="13" t="str">
        <f>IFERROR(INDEX(Tabla6[Tipo de Obras],MATCH(B91,Tabla6[Alias],0))," ")</f>
        <v>S/E</v>
      </c>
      <c r="N91" s="13">
        <f>IFERROR(INDEX(Tabla6[Plazo constructivo],MATCH(B91,Tabla6[Alias],0))," ")</f>
        <v>18</v>
      </c>
      <c r="O91" s="14">
        <f>IFERROR(INDEX(Tabla6[Fecha EO],MATCH(B91,Tabla6[Alias],0))," ")</f>
        <v>43617</v>
      </c>
      <c r="P91" s="95">
        <f>IFERROR(INDEX(Tabla6[AVI REF],MATCH(B91,Tabla6[Alias],0))," ")</f>
        <v>148800</v>
      </c>
      <c r="Q91" s="95">
        <f>IFERROR(INDEX(Tabla6[COMA REF],MATCH(B91,Tabla6[Alias],0))," ")</f>
        <v>23600</v>
      </c>
      <c r="R91" s="95">
        <f>IFERROR(INDEX(Tabla6[VATT REF '[AVI + COMA']],MATCH(B91,Tabla6[Alias],0))," ")</f>
        <v>172400</v>
      </c>
      <c r="S91" t="str">
        <f>IFERROR(INDEX(Tabla6[Propietario],MATCH(B91,Tabla6[Alias],0))," ")</f>
        <v>CGE S.A.</v>
      </c>
      <c r="T91" t="s">
        <v>44</v>
      </c>
      <c r="U91" t="s">
        <v>79</v>
      </c>
      <c r="V91" s="117" t="s">
        <v>1232</v>
      </c>
      <c r="W91" s="13" t="s">
        <v>155</v>
      </c>
      <c r="X91" s="106" t="s">
        <v>108</v>
      </c>
      <c r="Y91" s="117"/>
      <c r="Z91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2_PROC_OA_18_G06</v>
      </c>
      <c r="AA91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91" s="25"/>
      <c r="AC91" s="95"/>
      <c r="AD91" s="13" t="s">
        <v>317</v>
      </c>
      <c r="AE91" s="132" t="s">
        <v>317</v>
      </c>
      <c r="AF91" s="94" t="str">
        <f>IFERROR(INDEX(Tabla10[ID],MATCH(BASE_GRAL[[#This Row],[EMPRESA ADJUDICADA]],Tabla10[Alias],0)),"")</f>
        <v/>
      </c>
      <c r="AG91" s="13" t="s">
        <v>317</v>
      </c>
      <c r="AH91" s="13" t="s">
        <v>317</v>
      </c>
      <c r="AI91"/>
      <c r="AK91">
        <f>+BASE_GRAL[[#This Row],[COMA ADJUDICADO]]+BASE_GRAL[[#This Row],[AVI ADJUDICADO]]</f>
        <v>0</v>
      </c>
      <c r="AL91" s="97" t="s">
        <v>1226</v>
      </c>
      <c r="AM91" s="13" t="s">
        <v>317</v>
      </c>
      <c r="AN91" s="94" t="s">
        <v>317</v>
      </c>
    </row>
    <row r="92" spans="1:40" x14ac:dyDescent="0.25">
      <c r="A92">
        <v>91</v>
      </c>
      <c r="B92" t="s">
        <v>1483</v>
      </c>
      <c r="C92">
        <f>IFERROR(INDEX(Tabla6[AÑO],MATCH(B92,Tabla6[Alias],0)),"")</f>
        <v>2017</v>
      </c>
      <c r="D92">
        <f>IFERROR(INDEX(Tabla6[DECRETO],MATCH(B92,Tabla6[Alias],0)),"")</f>
        <v>418</v>
      </c>
      <c r="E92" s="6">
        <f>IFERROR(INDEX(Tabla6[Fecha de Promulgación],MATCH(B92,Tabla6[Alias],0)),"")</f>
        <v>42920</v>
      </c>
      <c r="F92">
        <f>IFERROR(INDEX(Tabla6[Tabla],MATCH(B92,Tabla6[Alias],0)),"")</f>
        <v>17</v>
      </c>
      <c r="G92" s="5" t="str">
        <f>IFERROR(INDEX(Tabla6[Sistema],MATCH(B92,Tabla6[Alias],0)),"")</f>
        <v>E</v>
      </c>
      <c r="H92" s="5" t="str">
        <f>IFERROR(INDEX(Tabla6[ID_OBRA],MATCH(B92,Tabla6[Alias],0)),"")</f>
        <v>17_418_Z_OA_65</v>
      </c>
      <c r="I92" t="str">
        <f>IFERROR(INDEX(Tabla6[Nombre Obra],MATCH(B92,Tabla6[Alias],0)),"")</f>
        <v>Ampliación en S/E Lautaro</v>
      </c>
      <c r="J92" t="str">
        <f>IFERROR(INDEX(Tabla6[Segmento],MATCH(B92,Tabla6[Alias],0)),"")</f>
        <v>ZONAL</v>
      </c>
      <c r="K92">
        <f>IFERROR(INDEX(Tabla6[Region],MATCH(B92,Tabla6[Alias],0)),"")</f>
        <v>0</v>
      </c>
      <c r="L92" s="13" t="str">
        <f>IFERROR(INDEX(Tabla6[Tipo de Obra],MATCH(B92,Tabla6[Alias],0))," ")</f>
        <v>OA</v>
      </c>
      <c r="M92" s="13" t="str">
        <f>IFERROR(INDEX(Tabla6[Tipo de Obras],MATCH(B92,Tabla6[Alias],0))," ")</f>
        <v>S/E</v>
      </c>
      <c r="N92" s="13">
        <f>IFERROR(INDEX(Tabla6[Plazo constructivo],MATCH(B92,Tabla6[Alias],0))," ")</f>
        <v>18</v>
      </c>
      <c r="O92" s="14">
        <f>IFERROR(INDEX(Tabla6[Fecha EO],MATCH(B92,Tabla6[Alias],0))," ")</f>
        <v>43617</v>
      </c>
      <c r="P92" s="95">
        <f>IFERROR(INDEX(Tabla6[AVI REF],MATCH(B92,Tabla6[Alias],0))," ")</f>
        <v>173200</v>
      </c>
      <c r="Q92" s="95">
        <f>IFERROR(INDEX(Tabla6[COMA REF],MATCH(B92,Tabla6[Alias],0))," ")</f>
        <v>27500</v>
      </c>
      <c r="R92" s="95">
        <f>IFERROR(INDEX(Tabla6[VATT REF '[AVI + COMA']],MATCH(B92,Tabla6[Alias],0))," ")</f>
        <v>200700</v>
      </c>
      <c r="S92" t="str">
        <f>IFERROR(INDEX(Tabla6[Propietario],MATCH(B92,Tabla6[Alias],0))," ")</f>
        <v>CGE S.A.</v>
      </c>
      <c r="T92" t="s">
        <v>44</v>
      </c>
      <c r="U92" t="s">
        <v>80</v>
      </c>
      <c r="V92" s="117" t="s">
        <v>1232</v>
      </c>
      <c r="W92" s="13" t="s">
        <v>155</v>
      </c>
      <c r="X92" s="106" t="s">
        <v>108</v>
      </c>
      <c r="Y92" s="117"/>
      <c r="Z92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2_PROC_OA_18_G06</v>
      </c>
      <c r="AA9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92" s="25"/>
      <c r="AC92" s="95"/>
      <c r="AD92" s="13" t="s">
        <v>317</v>
      </c>
      <c r="AE92" s="132" t="s">
        <v>317</v>
      </c>
      <c r="AF92" s="94" t="str">
        <f>IFERROR(INDEX(Tabla10[ID],MATCH(BASE_GRAL[[#This Row],[EMPRESA ADJUDICADA]],Tabla10[Alias],0)),"")</f>
        <v/>
      </c>
      <c r="AG92" s="13" t="s">
        <v>317</v>
      </c>
      <c r="AH92" s="13" t="s">
        <v>317</v>
      </c>
      <c r="AI92"/>
      <c r="AK92">
        <f>+BASE_GRAL[[#This Row],[COMA ADJUDICADO]]+BASE_GRAL[[#This Row],[AVI ADJUDICADO]]</f>
        <v>0</v>
      </c>
      <c r="AL92" s="97" t="s">
        <v>1226</v>
      </c>
      <c r="AM92" s="13" t="s">
        <v>317</v>
      </c>
      <c r="AN92" s="94" t="s">
        <v>317</v>
      </c>
    </row>
    <row r="93" spans="1:40" x14ac:dyDescent="0.25">
      <c r="A93">
        <v>88</v>
      </c>
      <c r="B93" t="s">
        <v>1480</v>
      </c>
      <c r="C93">
        <f>IFERROR(INDEX(Tabla6[AÑO],MATCH(B93,Tabla6[Alias],0)),"")</f>
        <v>2017</v>
      </c>
      <c r="D93">
        <f>IFERROR(INDEX(Tabla6[DECRETO],MATCH(B93,Tabla6[Alias],0)),"")</f>
        <v>418</v>
      </c>
      <c r="E93" s="6">
        <f>IFERROR(INDEX(Tabla6[Fecha de Promulgación],MATCH(B93,Tabla6[Alias],0)),"")</f>
        <v>42920</v>
      </c>
      <c r="F93">
        <f>IFERROR(INDEX(Tabla6[Tabla],MATCH(B93,Tabla6[Alias],0)),"")</f>
        <v>17</v>
      </c>
      <c r="G93" s="5" t="str">
        <f>IFERROR(INDEX(Tabla6[Sistema],MATCH(B93,Tabla6[Alias],0)),"")</f>
        <v>E</v>
      </c>
      <c r="H93" s="5" t="str">
        <f>IFERROR(INDEX(Tabla6[ID_OBRA],MATCH(B93,Tabla6[Alias],0)),"")</f>
        <v>17_418_Z_OA_62</v>
      </c>
      <c r="I93" t="str">
        <f>IFERROR(INDEX(Tabla6[Nombre Obra],MATCH(B93,Tabla6[Alias],0)),"")</f>
        <v>Ampliación en S/E Pitrufquén</v>
      </c>
      <c r="J93" t="str">
        <f>IFERROR(INDEX(Tabla6[Segmento],MATCH(B93,Tabla6[Alias],0)),"")</f>
        <v>ZONAL</v>
      </c>
      <c r="K93">
        <f>IFERROR(INDEX(Tabla6[Region],MATCH(B93,Tabla6[Alias],0)),"")</f>
        <v>0</v>
      </c>
      <c r="L93" s="13" t="str">
        <f>IFERROR(INDEX(Tabla6[Tipo de Obra],MATCH(B93,Tabla6[Alias],0))," ")</f>
        <v>OA</v>
      </c>
      <c r="M93" s="13" t="str">
        <f>IFERROR(INDEX(Tabla6[Tipo de Obras],MATCH(B93,Tabla6[Alias],0))," ")</f>
        <v>S/E</v>
      </c>
      <c r="N93" s="13">
        <f>IFERROR(INDEX(Tabla6[Plazo constructivo],MATCH(B93,Tabla6[Alias],0))," ")</f>
        <v>24</v>
      </c>
      <c r="O93" s="14">
        <f>IFERROR(INDEX(Tabla6[Fecha EO],MATCH(B93,Tabla6[Alias],0))," ")</f>
        <v>43800</v>
      </c>
      <c r="P93" s="95">
        <f>IFERROR(INDEX(Tabla6[AVI REF],MATCH(B93,Tabla6[Alias],0))," ")</f>
        <v>477800</v>
      </c>
      <c r="Q93" s="95">
        <f>IFERROR(INDEX(Tabla6[COMA REF],MATCH(B93,Tabla6[Alias],0))," ")</f>
        <v>75800</v>
      </c>
      <c r="R93" s="95">
        <f>IFERROR(INDEX(Tabla6[VATT REF '[AVI + COMA']],MATCH(B93,Tabla6[Alias],0))," ")</f>
        <v>553600</v>
      </c>
      <c r="S93" t="str">
        <f>IFERROR(INDEX(Tabla6[Propietario],MATCH(B93,Tabla6[Alias],0))," ")</f>
        <v>CGE S.A.</v>
      </c>
      <c r="T93" t="s">
        <v>44</v>
      </c>
      <c r="U93" t="s">
        <v>96</v>
      </c>
      <c r="V93" s="117" t="s">
        <v>1232</v>
      </c>
      <c r="W93" s="13" t="s">
        <v>155</v>
      </c>
      <c r="X93" s="106" t="s">
        <v>110</v>
      </c>
      <c r="Y93" s="117"/>
      <c r="Z93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2_PROC_OA_18_G07</v>
      </c>
      <c r="AA9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93" s="25"/>
      <c r="AC93" s="95"/>
      <c r="AD93" s="13" t="s">
        <v>317</v>
      </c>
      <c r="AE93" s="132" t="s">
        <v>199</v>
      </c>
      <c r="AF93" s="94" t="str">
        <f>IFERROR(INDEX(Tabla10[ID],MATCH(BASE_GRAL[[#This Row],[EMPRESA ADJUDICADA]],Tabla10[Alias],0)),"")</f>
        <v>PROP_20</v>
      </c>
      <c r="AG93" s="105">
        <v>43607</v>
      </c>
      <c r="AH93" s="13" t="s">
        <v>317</v>
      </c>
      <c r="AI93"/>
      <c r="AK93">
        <f>+BASE_GRAL[[#This Row],[COMA ADJUDICADO]]+BASE_GRAL[[#This Row],[AVI ADJUDICADO]]</f>
        <v>0</v>
      </c>
      <c r="AL93" t="s">
        <v>1223</v>
      </c>
      <c r="AM93" s="13" t="s">
        <v>317</v>
      </c>
      <c r="AN93" s="94" t="s">
        <v>317</v>
      </c>
    </row>
    <row r="94" spans="1:40" x14ac:dyDescent="0.25">
      <c r="A94">
        <v>92</v>
      </c>
      <c r="B94" t="s">
        <v>1484</v>
      </c>
      <c r="C94">
        <f>IFERROR(INDEX(Tabla6[AÑO],MATCH(B94,Tabla6[Alias],0)),"")</f>
        <v>2017</v>
      </c>
      <c r="D94">
        <f>IFERROR(INDEX(Tabla6[DECRETO],MATCH(B94,Tabla6[Alias],0)),"")</f>
        <v>418</v>
      </c>
      <c r="E94" s="6">
        <f>IFERROR(INDEX(Tabla6[Fecha de Promulgación],MATCH(B94,Tabla6[Alias],0)),"")</f>
        <v>42920</v>
      </c>
      <c r="F94">
        <f>IFERROR(INDEX(Tabla6[Tabla],MATCH(B94,Tabla6[Alias],0)),"")</f>
        <v>17</v>
      </c>
      <c r="G94" s="5" t="str">
        <f>IFERROR(INDEX(Tabla6[Sistema],MATCH(B94,Tabla6[Alias],0)),"")</f>
        <v>E</v>
      </c>
      <c r="H94" s="5" t="str">
        <f>IFERROR(INDEX(Tabla6[ID_OBRA],MATCH(B94,Tabla6[Alias],0)),"")</f>
        <v>17_418_Z_OA_66</v>
      </c>
      <c r="I94" t="str">
        <f>IFERROR(INDEX(Tabla6[Nombre Obra],MATCH(B94,Tabla6[Alias],0)),"")</f>
        <v>Ampliación en S/E Padre las Casas</v>
      </c>
      <c r="J94" t="str">
        <f>IFERROR(INDEX(Tabla6[Segmento],MATCH(B94,Tabla6[Alias],0)),"")</f>
        <v>ZONAL</v>
      </c>
      <c r="K94">
        <f>IFERROR(INDEX(Tabla6[Region],MATCH(B94,Tabla6[Alias],0)),"")</f>
        <v>0</v>
      </c>
      <c r="L94" s="13" t="str">
        <f>IFERROR(INDEX(Tabla6[Tipo de Obra],MATCH(B94,Tabla6[Alias],0))," ")</f>
        <v>OA</v>
      </c>
      <c r="M94" s="13" t="str">
        <f>IFERROR(INDEX(Tabla6[Tipo de Obras],MATCH(B94,Tabla6[Alias],0))," ")</f>
        <v>S/E</v>
      </c>
      <c r="N94" s="13">
        <f>IFERROR(INDEX(Tabla6[Plazo constructivo],MATCH(B94,Tabla6[Alias],0))," ")</f>
        <v>24</v>
      </c>
      <c r="O94" s="14">
        <f>IFERROR(INDEX(Tabla6[Fecha EO],MATCH(B94,Tabla6[Alias],0))," ")</f>
        <v>43800</v>
      </c>
      <c r="P94" s="95">
        <f>IFERROR(INDEX(Tabla6[AVI REF],MATCH(B94,Tabla6[Alias],0))," ")</f>
        <v>532600</v>
      </c>
      <c r="Q94" s="95">
        <f>IFERROR(INDEX(Tabla6[COMA REF],MATCH(B94,Tabla6[Alias],0))," ")</f>
        <v>84500</v>
      </c>
      <c r="R94" s="95">
        <f>IFERROR(INDEX(Tabla6[VATT REF '[AVI + COMA']],MATCH(B94,Tabla6[Alias],0))," ")</f>
        <v>617100</v>
      </c>
      <c r="S94" t="str">
        <f>IFERROR(INDEX(Tabla6[Propietario],MATCH(B94,Tabla6[Alias],0))," ")</f>
        <v>CGE S.A.</v>
      </c>
      <c r="T94" t="s">
        <v>44</v>
      </c>
      <c r="U94" t="s">
        <v>97</v>
      </c>
      <c r="V94" s="117" t="s">
        <v>1232</v>
      </c>
      <c r="W94" s="13" t="s">
        <v>155</v>
      </c>
      <c r="X94" s="106" t="s">
        <v>110</v>
      </c>
      <c r="Y94" s="117"/>
      <c r="Z94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2_PROC_OA_18_G07</v>
      </c>
      <c r="AA9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94" s="25"/>
      <c r="AC94" s="95"/>
      <c r="AD94" s="13" t="s">
        <v>317</v>
      </c>
      <c r="AE94" s="132" t="s">
        <v>199</v>
      </c>
      <c r="AF94" s="94" t="str">
        <f>IFERROR(INDEX(Tabla10[ID],MATCH(BASE_GRAL[[#This Row],[EMPRESA ADJUDICADA]],Tabla10[Alias],0)),"")</f>
        <v>PROP_20</v>
      </c>
      <c r="AG94" s="105">
        <v>43607</v>
      </c>
      <c r="AH94" s="13" t="s">
        <v>317</v>
      </c>
      <c r="AI94"/>
      <c r="AK94">
        <f>+BASE_GRAL[[#This Row],[COMA ADJUDICADO]]+BASE_GRAL[[#This Row],[AVI ADJUDICADO]]</f>
        <v>0</v>
      </c>
      <c r="AL94" t="s">
        <v>1223</v>
      </c>
      <c r="AM94" s="13" t="s">
        <v>317</v>
      </c>
      <c r="AN94" s="94" t="s">
        <v>317</v>
      </c>
    </row>
    <row r="95" spans="1:40" x14ac:dyDescent="0.25">
      <c r="A95">
        <v>93</v>
      </c>
      <c r="B95" t="s">
        <v>1485</v>
      </c>
      <c r="C95">
        <f>IFERROR(INDEX(Tabla6[AÑO],MATCH(B95,Tabla6[Alias],0)),"")</f>
        <v>2017</v>
      </c>
      <c r="D95">
        <f>IFERROR(INDEX(Tabla6[DECRETO],MATCH(B95,Tabla6[Alias],0)),"")</f>
        <v>418</v>
      </c>
      <c r="E95" s="6">
        <f>IFERROR(INDEX(Tabla6[Fecha de Promulgación],MATCH(B95,Tabla6[Alias],0)),"")</f>
        <v>42920</v>
      </c>
      <c r="F95">
        <f>IFERROR(INDEX(Tabla6[Tabla],MATCH(B95,Tabla6[Alias],0)),"")</f>
        <v>18</v>
      </c>
      <c r="G95" s="5" t="str">
        <f>IFERROR(INDEX(Tabla6[Sistema],MATCH(B95,Tabla6[Alias],0)),"")</f>
        <v>F</v>
      </c>
      <c r="H95" s="5" t="str">
        <f>IFERROR(INDEX(Tabla6[ID_OBRA],MATCH(B95,Tabla6[Alias],0)),"")</f>
        <v>17_418_Z_OA_67</v>
      </c>
      <c r="I95" t="str">
        <f>IFERROR(INDEX(Tabla6[Nombre Obra],MATCH(B95,Tabla6[Alias],0)),"")</f>
        <v>Ampliación en S/E Nueva Valdivia</v>
      </c>
      <c r="J95" t="str">
        <f>IFERROR(INDEX(Tabla6[Segmento],MATCH(B95,Tabla6[Alias],0)),"")</f>
        <v>ZONAL</v>
      </c>
      <c r="K95">
        <f>IFERROR(INDEX(Tabla6[Region],MATCH(B95,Tabla6[Alias],0)),"")</f>
        <v>0</v>
      </c>
      <c r="L95" s="13" t="str">
        <f>IFERROR(INDEX(Tabla6[Tipo de Obra],MATCH(B95,Tabla6[Alias],0))," ")</f>
        <v>OA</v>
      </c>
      <c r="M95" s="13" t="str">
        <f>IFERROR(INDEX(Tabla6[Tipo de Obras],MATCH(B95,Tabla6[Alias],0))," ")</f>
        <v>S/E</v>
      </c>
      <c r="N95" s="13">
        <f>IFERROR(INDEX(Tabla6[Plazo constructivo],MATCH(B95,Tabla6[Alias],0))," ")</f>
        <v>36</v>
      </c>
      <c r="O95" s="14">
        <f>IFERROR(INDEX(Tabla6[Fecha EO],MATCH(B95,Tabla6[Alias],0))," ")</f>
        <v>44166</v>
      </c>
      <c r="P95" s="95">
        <f>IFERROR(INDEX(Tabla6[AVI REF],MATCH(B95,Tabla6[Alias],0))," ")</f>
        <v>715700</v>
      </c>
      <c r="Q95" s="95">
        <f>IFERROR(INDEX(Tabla6[COMA REF],MATCH(B95,Tabla6[Alias],0))," ")</f>
        <v>113500</v>
      </c>
      <c r="R95" s="95">
        <f>IFERROR(INDEX(Tabla6[VATT REF '[AVI + COMA']],MATCH(B95,Tabla6[Alias],0))," ")</f>
        <v>829200</v>
      </c>
      <c r="S95" t="str">
        <f>IFERROR(INDEX(Tabla6[Propietario],MATCH(B95,Tabla6[Alias],0))," ")</f>
        <v>CGE S.A.</v>
      </c>
      <c r="T95" t="s">
        <v>44</v>
      </c>
      <c r="U95" t="s">
        <v>101</v>
      </c>
      <c r="V95" s="117" t="s">
        <v>1232</v>
      </c>
      <c r="W95" s="13" t="s">
        <v>155</v>
      </c>
      <c r="X95" s="106" t="s">
        <v>111</v>
      </c>
      <c r="Y95" s="117"/>
      <c r="Z95" s="106" t="str">
        <f>CONCATENATE(LEFT(BASE_GRAL[[#This Row],[Proceso '[AÑO + DECRETO']]],2),MID(BASE_GRAL[[#This Row],[Proceso '[AÑO + DECRETO']]],3,4),RIGHT(BASE_GRAL[[#This Row],[Proceso '[AÑO + DECRETO']]],6),"_",BASE_GRAL[[#This Row],[Grupo]])</f>
        <v>2_PROC_OA_18_G08</v>
      </c>
      <c r="AA9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95" s="25"/>
      <c r="AC95" s="95"/>
      <c r="AD95" s="13" t="s">
        <v>317</v>
      </c>
      <c r="AE95" s="132" t="s">
        <v>317</v>
      </c>
      <c r="AF95" s="94" t="str">
        <f>IFERROR(INDEX(Tabla10[ID],MATCH(BASE_GRAL[[#This Row],[EMPRESA ADJUDICADA]],Tabla10[Alias],0)),"")</f>
        <v/>
      </c>
      <c r="AG95" s="13" t="s">
        <v>317</v>
      </c>
      <c r="AH95" s="13" t="s">
        <v>317</v>
      </c>
      <c r="AI95"/>
      <c r="AK95">
        <f>+BASE_GRAL[[#This Row],[COMA ADJUDICADO]]+BASE_GRAL[[#This Row],[AVI ADJUDICADO]]</f>
        <v>0</v>
      </c>
      <c r="AL95" s="97" t="s">
        <v>1226</v>
      </c>
      <c r="AM95" s="13" t="s">
        <v>317</v>
      </c>
      <c r="AN95" s="94" t="s">
        <v>317</v>
      </c>
    </row>
    <row r="96" spans="1:40" s="123" customFormat="1" x14ac:dyDescent="0.25">
      <c r="A96" s="123">
        <v>122</v>
      </c>
      <c r="B96" t="s">
        <v>1486</v>
      </c>
      <c r="C96">
        <f>IFERROR(INDEX(Tabla6[AÑO],MATCH(B96,Tabla6[Alias],0)),"")</f>
        <v>2018</v>
      </c>
      <c r="D96">
        <f>IFERROR(INDEX(Tabla6[DECRETO],MATCH(B96,Tabla6[Alias],0)),"")</f>
        <v>293</v>
      </c>
      <c r="E96" s="6">
        <f>IFERROR(INDEX(Tabla6[Fecha de Promulgación],MATCH(B96,Tabla6[Alias],0)),"")</f>
        <v>43433</v>
      </c>
      <c r="F96">
        <f>IFERROR(INDEX(Tabla6[Tabla],MATCH(B96,Tabla6[Alias],0)),"")</f>
        <v>1</v>
      </c>
      <c r="G96" s="5">
        <f>IFERROR(INDEX(Tabla6[Sistema],MATCH(B96,Tabla6[Alias],0)),"")</f>
        <v>0</v>
      </c>
      <c r="H96" s="127" t="str">
        <f>IFERROR(INDEX(Tabla6[ID_OBRA],MATCH(B96,Tabla6[Alias],0)),"")</f>
        <v>18_293_N_OAC_02</v>
      </c>
      <c r="I96" t="str">
        <f>IFERROR(INDEX(Tabla6[Nombre Obra],MATCH(B96,Tabla6[Alias],0)),"")</f>
        <v>Ampliación en S/E Lagunas</v>
      </c>
      <c r="J96" t="str">
        <f>IFERROR(INDEX(Tabla6[Segmento],MATCH(B96,Tabla6[Alias],0)),"")</f>
        <v>NACIONAL</v>
      </c>
      <c r="K96">
        <f>IFERROR(INDEX(Tabla6[Region],MATCH(B96,Tabla6[Alias],0)),"")</f>
        <v>0</v>
      </c>
      <c r="L96" s="13" t="str">
        <f>IFERROR(INDEX(Tabla6[Tipo de Obra],MATCH(B96,Tabla6[Alias],0))," ")</f>
        <v>OAC</v>
      </c>
      <c r="M96" s="13" t="str">
        <f>IFERROR(INDEX(Tabla6[Tipo de Obras],MATCH(B96,Tabla6[Alias],0))," ")</f>
        <v>S/E</v>
      </c>
      <c r="N96" s="13">
        <f>IFERROR(INDEX(Tabla6[Plazo constructivo],MATCH(B96,Tabla6[Alias],0))," ")</f>
        <v>24</v>
      </c>
      <c r="O96" s="14">
        <f>IFERROR(INDEX(Tabla6[Fecha EO],MATCH(B96,Tabla6[Alias],0))," ")</f>
        <v>0</v>
      </c>
      <c r="P96" s="95">
        <f>IFERROR(INDEX(Tabla6[AVI REF],MATCH(B96,Tabla6[Alias],0))," ")</f>
        <v>2442560</v>
      </c>
      <c r="Q96" s="95">
        <f>IFERROR(INDEX(Tabla6[COMA REF],MATCH(B96,Tabla6[Alias],0))," ")</f>
        <v>39080.959999999999</v>
      </c>
      <c r="R96" s="95">
        <f>IFERROR(INDEX(Tabla6[VATT REF '[AVI + COMA']],MATCH(B96,Tabla6[Alias],0))," ")</f>
        <v>2481640.96</v>
      </c>
      <c r="S96" t="str">
        <f>IFERROR(INDEX(Tabla6[Propietario],MATCH(B96,Tabla6[Alias],0))," ")</f>
        <v>Transelec S.A.</v>
      </c>
      <c r="T96" s="123" t="s">
        <v>44</v>
      </c>
      <c r="U96" s="123" t="s">
        <v>1259</v>
      </c>
      <c r="V96" s="144" t="s">
        <v>1301</v>
      </c>
      <c r="W96" s="145" t="s">
        <v>155</v>
      </c>
      <c r="X96" s="145" t="s">
        <v>104</v>
      </c>
      <c r="Y96" s="144" t="s">
        <v>116</v>
      </c>
      <c r="Z96" s="145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3_PROC_ON_19_G01</v>
      </c>
      <c r="AA96" s="153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3_PROC_ON_19_G01_SG01</v>
      </c>
      <c r="AB96" s="146" t="s">
        <v>210</v>
      </c>
      <c r="AC96" s="144"/>
      <c r="AD96" s="144"/>
      <c r="AE96" s="147" t="s">
        <v>1265</v>
      </c>
      <c r="AF96" s="148" t="str">
        <f>IFERROR(INDEX(Tabla10[ID],MATCH(BASE_GRAL[[#This Row],[EMPRESA ADJUDICADA]],Tabla10[Alias],0)),"")</f>
        <v>PROP_35</v>
      </c>
      <c r="AG96" s="149">
        <v>43894</v>
      </c>
      <c r="AH96" s="150">
        <v>2817189</v>
      </c>
      <c r="AI96" s="150"/>
      <c r="AJ96" s="150"/>
      <c r="AK96" s="150">
        <f>+BASE_GRAL[[#This Row],[COMA ADJUDICADO]]+BASE_GRAL[[#This Row],[AVI ADJUDICADO]]</f>
        <v>0</v>
      </c>
      <c r="AL96" s="144" t="s">
        <v>1223</v>
      </c>
      <c r="AM96" s="128" t="s">
        <v>1308</v>
      </c>
      <c r="AN96" s="131">
        <v>44090</v>
      </c>
    </row>
    <row r="97" spans="1:40" x14ac:dyDescent="0.25">
      <c r="A97">
        <v>126</v>
      </c>
      <c r="B97" t="s">
        <v>1487</v>
      </c>
      <c r="C97">
        <f>IFERROR(INDEX(Tabla6[AÑO],MATCH(B97,Tabla6[Alias],0)),"")</f>
        <v>2018</v>
      </c>
      <c r="D97">
        <f>IFERROR(INDEX(Tabla6[DECRETO],MATCH(B97,Tabla6[Alias],0)),"")</f>
        <v>293</v>
      </c>
      <c r="E97" s="6">
        <f>IFERROR(INDEX(Tabla6[Fecha de Promulgación],MATCH(B97,Tabla6[Alias],0)),"")</f>
        <v>43433</v>
      </c>
      <c r="F97">
        <f>IFERROR(INDEX(Tabla6[Tabla],MATCH(B97,Tabla6[Alias],0)),"")</f>
        <v>2</v>
      </c>
      <c r="G97" s="5" t="str">
        <f>IFERROR(INDEX(Tabla6[Sistema],MATCH(B97,Tabla6[Alias],0)),"")</f>
        <v>B</v>
      </c>
      <c r="H97" s="5" t="str">
        <f>IFERROR(INDEX(Tabla6[ID_OBRA],MATCH(B97,Tabla6[Alias],0)),"")</f>
        <v>18_293_Z_OAC_06</v>
      </c>
      <c r="I97" t="str">
        <f>IFERROR(INDEX(Tabla6[Nombre Obra],MATCH(B97,Tabla6[Alias],0)),"")</f>
        <v>Ampliación en S/E Caldera</v>
      </c>
      <c r="J97" t="str">
        <f>IFERROR(INDEX(Tabla6[Segmento],MATCH(B97,Tabla6[Alias],0)),"")</f>
        <v>ZONAL</v>
      </c>
      <c r="K97">
        <f>IFERROR(INDEX(Tabla6[Region],MATCH(B97,Tabla6[Alias],0)),"")</f>
        <v>0</v>
      </c>
      <c r="L97" s="13" t="str">
        <f>IFERROR(INDEX(Tabla6[Tipo de Obra],MATCH(B97,Tabla6[Alias],0))," ")</f>
        <v>OAC</v>
      </c>
      <c r="M97" s="13" t="str">
        <f>IFERROR(INDEX(Tabla6[Tipo de Obras],MATCH(B97,Tabla6[Alias],0))," ")</f>
        <v>S/E</v>
      </c>
      <c r="N97" s="13">
        <f>IFERROR(INDEX(Tabla6[Plazo constructivo],MATCH(B97,Tabla6[Alias],0))," ")</f>
        <v>24</v>
      </c>
      <c r="O97" s="14">
        <f>IFERROR(INDEX(Tabla6[Fecha EO],MATCH(B97,Tabla6[Alias],0))," ")</f>
        <v>0</v>
      </c>
      <c r="P97" s="95">
        <f>IFERROR(INDEX(Tabla6[AVI REF],MATCH(B97,Tabla6[Alias],0))," ")</f>
        <v>2576574</v>
      </c>
      <c r="Q97" s="95">
        <f>IFERROR(INDEX(Tabla6[COMA REF],MATCH(B97,Tabla6[Alias],0))," ")</f>
        <v>41225.184000000001</v>
      </c>
      <c r="R97" s="95">
        <f>IFERROR(INDEX(Tabla6[VATT REF '[AVI + COMA']],MATCH(B97,Tabla6[Alias],0))," ")</f>
        <v>2617799.1839999999</v>
      </c>
      <c r="S97" t="str">
        <f>IFERROR(INDEX(Tabla6[Propietario],MATCH(B97,Tabla6[Alias],0))," ")</f>
        <v>CGE S.A.</v>
      </c>
      <c r="T97" t="s">
        <v>44</v>
      </c>
      <c r="V97" s="144" t="s">
        <v>1301</v>
      </c>
      <c r="W97" s="145" t="s">
        <v>155</v>
      </c>
      <c r="X97" s="145" t="s">
        <v>105</v>
      </c>
      <c r="Y97" s="144" t="s">
        <v>119</v>
      </c>
      <c r="Z97" s="145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3_PROC_ON_19_G02</v>
      </c>
      <c r="AA97" s="153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3_PROC_ON_19_G02_SG02</v>
      </c>
      <c r="AB97" s="146" t="s">
        <v>214</v>
      </c>
      <c r="AC97" s="144"/>
      <c r="AD97" s="144"/>
      <c r="AE97" s="147" t="s">
        <v>317</v>
      </c>
      <c r="AF97" s="148" t="str">
        <f>IFERROR(INDEX(Tabla10[ID],MATCH(BASE_GRAL[[#This Row],[EMPRESA ADJUDICADA]],Tabla10[Alias],0)),"")</f>
        <v/>
      </c>
      <c r="AG97" s="145" t="s">
        <v>317</v>
      </c>
      <c r="AH97" s="150" t="s">
        <v>317</v>
      </c>
      <c r="AI97" s="150"/>
      <c r="AJ97" s="150"/>
      <c r="AK97" s="150">
        <f>+BASE_GRAL[[#This Row],[COMA ADJUDICADO]]+BASE_GRAL[[#This Row],[AVI ADJUDICADO]]</f>
        <v>0</v>
      </c>
      <c r="AL97" s="144" t="s">
        <v>1224</v>
      </c>
      <c r="AM97" s="13"/>
      <c r="AN97" s="94"/>
    </row>
    <row r="98" spans="1:40" s="118" customFormat="1" x14ac:dyDescent="0.25">
      <c r="A98">
        <v>123</v>
      </c>
      <c r="B98" t="s">
        <v>1488</v>
      </c>
      <c r="C98">
        <f>IFERROR(INDEX(Tabla6[AÑO],MATCH(B98,Tabla6[Alias],0)),"")</f>
        <v>2018</v>
      </c>
      <c r="D98">
        <f>IFERROR(INDEX(Tabla6[DECRETO],MATCH(B98,Tabla6[Alias],0)),"")</f>
        <v>293</v>
      </c>
      <c r="E98" s="6">
        <f>IFERROR(INDEX(Tabla6[Fecha de Promulgación],MATCH(B98,Tabla6[Alias],0)),"")</f>
        <v>43433</v>
      </c>
      <c r="F98">
        <f>IFERROR(INDEX(Tabla6[Tabla],MATCH(B98,Tabla6[Alias],0)),"")</f>
        <v>1</v>
      </c>
      <c r="G98" s="5">
        <f>IFERROR(INDEX(Tabla6[Sistema],MATCH(B98,Tabla6[Alias],0)),"")</f>
        <v>0</v>
      </c>
      <c r="H98" s="5" t="str">
        <f>IFERROR(INDEX(Tabla6[ID_OBRA],MATCH(B98,Tabla6[Alias],0)),"")</f>
        <v>18_293_N_OA_03</v>
      </c>
      <c r="I98" t="str">
        <f>IFERROR(INDEX(Tabla6[Nombre Obra],MATCH(B98,Tabla6[Alias],0)),"")</f>
        <v>Aumento de Capacidad de Línea 2x220 kV Nueva Puerto Montt - Puerto Montt y Ampliación en S/E Nueva Puerto Montt</v>
      </c>
      <c r="J98" t="str">
        <f>IFERROR(INDEX(Tabla6[Segmento],MATCH(B98,Tabla6[Alias],0)),"")</f>
        <v>NACIONAL</v>
      </c>
      <c r="K98">
        <f>IFERROR(INDEX(Tabla6[Region],MATCH(B98,Tabla6[Alias],0)),"")</f>
        <v>0</v>
      </c>
      <c r="L98" s="13" t="str">
        <f>IFERROR(INDEX(Tabla6[Tipo de Obra],MATCH(B98,Tabla6[Alias],0))," ")</f>
        <v>OA</v>
      </c>
      <c r="M98" s="13" t="str">
        <f>IFERROR(INDEX(Tabla6[Tipo de Obras],MATCH(B98,Tabla6[Alias],0))," ")</f>
        <v>S/E + LT</v>
      </c>
      <c r="N98" s="13">
        <f>IFERROR(INDEX(Tabla6[Plazo constructivo],MATCH(B98,Tabla6[Alias],0))," ")</f>
        <v>30</v>
      </c>
      <c r="O98" s="14">
        <f>IFERROR(INDEX(Tabla6[Fecha EO],MATCH(B98,Tabla6[Alias],0))," ")</f>
        <v>0</v>
      </c>
      <c r="P98" s="95">
        <f>IFERROR(INDEX(Tabla6[AVI REF],MATCH(B98,Tabla6[Alias],0))," ")</f>
        <v>3880098</v>
      </c>
      <c r="Q98" s="95">
        <f>IFERROR(INDEX(Tabla6[COMA REF],MATCH(B98,Tabla6[Alias],0))," ")</f>
        <v>62081.567999999999</v>
      </c>
      <c r="R98" s="95">
        <f>IFERROR(INDEX(Tabla6[VATT REF '[AVI + COMA']],MATCH(B98,Tabla6[Alias],0))," ")</f>
        <v>3942179.568</v>
      </c>
      <c r="S98" t="str">
        <f>IFERROR(INDEX(Tabla6[Propietario],MATCH(B98,Tabla6[Alias],0))," ")</f>
        <v>Transelec S.A.</v>
      </c>
      <c r="T98"/>
      <c r="U98"/>
      <c r="V98" s="144" t="s">
        <v>1261</v>
      </c>
      <c r="W98" s="145" t="s">
        <v>155</v>
      </c>
      <c r="X98" s="145" t="s">
        <v>113</v>
      </c>
      <c r="Y98" s="144"/>
      <c r="Z98" s="145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3_PROC_OA_19_G10</v>
      </c>
      <c r="AA98" s="153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98" s="146" t="s">
        <v>211</v>
      </c>
      <c r="AC98" s="144"/>
      <c r="AD98" s="144"/>
      <c r="AE98" s="144" t="s">
        <v>174</v>
      </c>
      <c r="AF98" s="148" t="str">
        <f>IFERROR(INDEX(Tabla10[ID],MATCH(BASE_GRAL[[#This Row],[EMPRESA ADJUDICADA]],Tabla10[Alias],0)),"")</f>
        <v>PROP_17</v>
      </c>
      <c r="AG98" s="148">
        <v>43812</v>
      </c>
      <c r="AH98" s="150">
        <v>6505293.2300000004</v>
      </c>
      <c r="AI98" s="150"/>
      <c r="AJ98" s="150"/>
      <c r="AK98" s="150">
        <f>+BASE_GRAL[[#This Row],[COMA ADJUDICADO]]+BASE_GRAL[[#This Row],[AVI ADJUDICADO]]</f>
        <v>0</v>
      </c>
      <c r="AL98" s="144" t="s">
        <v>1223</v>
      </c>
      <c r="AM98" s="13" t="s">
        <v>607</v>
      </c>
      <c r="AN98" s="94">
        <v>44168</v>
      </c>
    </row>
    <row r="99" spans="1:40" s="118" customFormat="1" x14ac:dyDescent="0.25">
      <c r="A99">
        <v>124</v>
      </c>
      <c r="B99" t="s">
        <v>1489</v>
      </c>
      <c r="C99">
        <f>IFERROR(INDEX(Tabla6[AÑO],MATCH(B99,Tabla6[Alias],0)),"")</f>
        <v>2018</v>
      </c>
      <c r="D99">
        <f>IFERROR(INDEX(Tabla6[DECRETO],MATCH(B99,Tabla6[Alias],0)),"")</f>
        <v>293</v>
      </c>
      <c r="E99" s="6">
        <f>IFERROR(INDEX(Tabla6[Fecha de Promulgación],MATCH(B99,Tabla6[Alias],0)),"")</f>
        <v>43433</v>
      </c>
      <c r="F99">
        <f>IFERROR(INDEX(Tabla6[Tabla],MATCH(B99,Tabla6[Alias],0)),"")</f>
        <v>1</v>
      </c>
      <c r="G99" s="5">
        <f>IFERROR(INDEX(Tabla6[Sistema],MATCH(B99,Tabla6[Alias],0)),"")</f>
        <v>0</v>
      </c>
      <c r="H99" s="5" t="str">
        <f>IFERROR(INDEX(Tabla6[ID_OBRA],MATCH(B99,Tabla6[Alias],0)),"")</f>
        <v>18_293_N_OA_04</v>
      </c>
      <c r="I99" t="str">
        <f>IFERROR(INDEX(Tabla6[Nombre Obra],MATCH(B99,Tabla6[Alias],0)),"")</f>
        <v>Aumento de Capacidad de Línea 2x220 kV Ciruelos - Cautín</v>
      </c>
      <c r="J99" t="str">
        <f>IFERROR(INDEX(Tabla6[Segmento],MATCH(B99,Tabla6[Alias],0)),"")</f>
        <v>NACIONAL</v>
      </c>
      <c r="K99">
        <f>IFERROR(INDEX(Tabla6[Region],MATCH(B99,Tabla6[Alias],0)),"")</f>
        <v>0</v>
      </c>
      <c r="L99" s="13" t="str">
        <f>IFERROR(INDEX(Tabla6[Tipo de Obra],MATCH(B99,Tabla6[Alias],0))," ")</f>
        <v>OA</v>
      </c>
      <c r="M99" s="13" t="str">
        <f>IFERROR(INDEX(Tabla6[Tipo de Obras],MATCH(B99,Tabla6[Alias],0))," ")</f>
        <v>S/E</v>
      </c>
      <c r="N99" s="13">
        <f>IFERROR(INDEX(Tabla6[Plazo constructivo],MATCH(B99,Tabla6[Alias],0))," ")</f>
        <v>36</v>
      </c>
      <c r="O99" s="14">
        <f>IFERROR(INDEX(Tabla6[Fecha EO],MATCH(B99,Tabla6[Alias],0))," ")</f>
        <v>0</v>
      </c>
      <c r="P99" s="95">
        <f>IFERROR(INDEX(Tabla6[AVI REF],MATCH(B99,Tabla6[Alias],0))," ")</f>
        <v>10347562</v>
      </c>
      <c r="Q99" s="95">
        <f>IFERROR(INDEX(Tabla6[COMA REF],MATCH(B99,Tabla6[Alias],0))," ")</f>
        <v>165560.992</v>
      </c>
      <c r="R99" s="95">
        <f>IFERROR(INDEX(Tabla6[VATT REF '[AVI + COMA']],MATCH(B99,Tabla6[Alias],0))," ")</f>
        <v>10513122.992000001</v>
      </c>
      <c r="S99" t="str">
        <f>IFERROR(INDEX(Tabla6[Propietario],MATCH(B99,Tabla6[Alias],0))," ")</f>
        <v>Transelec S.A.</v>
      </c>
      <c r="T99"/>
      <c r="U99"/>
      <c r="V99" s="144" t="s">
        <v>1261</v>
      </c>
      <c r="W99" s="145" t="s">
        <v>155</v>
      </c>
      <c r="X99" s="145" t="s">
        <v>111</v>
      </c>
      <c r="Y99" s="144"/>
      <c r="Z99" s="145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3_PROC_OA_19_G08</v>
      </c>
      <c r="AA99" s="153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99" s="146" t="s">
        <v>212</v>
      </c>
      <c r="AC99" s="144"/>
      <c r="AD99" s="144"/>
      <c r="AE99" s="144" t="s">
        <v>174</v>
      </c>
      <c r="AF99" s="148" t="str">
        <f>IFERROR(INDEX(Tabla10[ID],MATCH(BASE_GRAL[[#This Row],[EMPRESA ADJUDICADA]],Tabla10[Alias],0)),"")</f>
        <v>PROP_17</v>
      </c>
      <c r="AG99" s="148">
        <v>43812</v>
      </c>
      <c r="AH99" s="150">
        <v>18175800.199999999</v>
      </c>
      <c r="AI99" s="150"/>
      <c r="AJ99" s="150"/>
      <c r="AK99" s="150">
        <f>+BASE_GRAL[[#This Row],[COMA ADJUDICADO]]+BASE_GRAL[[#This Row],[AVI ADJUDICADO]]</f>
        <v>0</v>
      </c>
      <c r="AL99" s="144" t="s">
        <v>1223</v>
      </c>
      <c r="AM99" s="13" t="s">
        <v>607</v>
      </c>
      <c r="AN99" s="94">
        <v>44168</v>
      </c>
    </row>
    <row r="100" spans="1:40" s="118" customFormat="1" x14ac:dyDescent="0.25">
      <c r="A100">
        <v>125</v>
      </c>
      <c r="B100" t="s">
        <v>1490</v>
      </c>
      <c r="C100">
        <f>IFERROR(INDEX(Tabla6[AÑO],MATCH(B100,Tabla6[Alias],0)),"")</f>
        <v>2018</v>
      </c>
      <c r="D100">
        <f>IFERROR(INDEX(Tabla6[DECRETO],MATCH(B100,Tabla6[Alias],0)),"")</f>
        <v>293</v>
      </c>
      <c r="E100" s="6">
        <f>IFERROR(INDEX(Tabla6[Fecha de Promulgación],MATCH(B100,Tabla6[Alias],0)),"")</f>
        <v>43433</v>
      </c>
      <c r="F100">
        <f>IFERROR(INDEX(Tabla6[Tabla],MATCH(B100,Tabla6[Alias],0)),"")</f>
        <v>2</v>
      </c>
      <c r="G100" s="5" t="str">
        <f>IFERROR(INDEX(Tabla6[Sistema],MATCH(B100,Tabla6[Alias],0)),"")</f>
        <v>B</v>
      </c>
      <c r="H100" s="5" t="str">
        <f>IFERROR(INDEX(Tabla6[ID_OBRA],MATCH(B100,Tabla6[Alias],0)),"")</f>
        <v>18_293_Z_OA_05</v>
      </c>
      <c r="I100" t="str">
        <f>IFERROR(INDEX(Tabla6[Nombre Obra],MATCH(B100,Tabla6[Alias],0)),"")</f>
        <v>Doble vinculación Transformador N°1 220/110 kV en S/E Cardones</v>
      </c>
      <c r="J100" t="str">
        <f>IFERROR(INDEX(Tabla6[Segmento],MATCH(B100,Tabla6[Alias],0)),"")</f>
        <v>ZONAL</v>
      </c>
      <c r="K100">
        <f>IFERROR(INDEX(Tabla6[Region],MATCH(B100,Tabla6[Alias],0)),"")</f>
        <v>0</v>
      </c>
      <c r="L100" s="13" t="str">
        <f>IFERROR(INDEX(Tabla6[Tipo de Obra],MATCH(B100,Tabla6[Alias],0))," ")</f>
        <v>OA</v>
      </c>
      <c r="M100" s="13" t="str">
        <f>IFERROR(INDEX(Tabla6[Tipo de Obras],MATCH(B100,Tabla6[Alias],0))," ")</f>
        <v>S/E</v>
      </c>
      <c r="N100" s="13">
        <f>IFERROR(INDEX(Tabla6[Plazo constructivo],MATCH(B100,Tabla6[Alias],0))," ")</f>
        <v>24</v>
      </c>
      <c r="O100" s="14">
        <f>IFERROR(INDEX(Tabla6[Fecha EO],MATCH(B100,Tabla6[Alias],0))," ")</f>
        <v>0</v>
      </c>
      <c r="P100" s="95">
        <f>IFERROR(INDEX(Tabla6[AVI REF],MATCH(B100,Tabla6[Alias],0))," ")</f>
        <v>6803965</v>
      </c>
      <c r="Q100" s="95">
        <f>IFERROR(INDEX(Tabla6[COMA REF],MATCH(B100,Tabla6[Alias],0))," ")</f>
        <v>108863.44</v>
      </c>
      <c r="R100" s="95">
        <f>IFERROR(INDEX(Tabla6[VATT REF '[AVI + COMA']],MATCH(B100,Tabla6[Alias],0))," ")</f>
        <v>6912828.4400000004</v>
      </c>
      <c r="S100" t="str">
        <f>IFERROR(INDEX(Tabla6[Propietario],MATCH(B100,Tabla6[Alias],0))," ")</f>
        <v>Transelec S.A.</v>
      </c>
      <c r="T100" t="s">
        <v>44</v>
      </c>
      <c r="U100"/>
      <c r="V100" s="144" t="s">
        <v>1261</v>
      </c>
      <c r="W100" s="145" t="s">
        <v>155</v>
      </c>
      <c r="X100" s="145" t="s">
        <v>104</v>
      </c>
      <c r="Y100" s="144"/>
      <c r="Z100" s="145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3_PROC_OA_19_G01</v>
      </c>
      <c r="AA100" s="153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00" s="146" t="s">
        <v>213</v>
      </c>
      <c r="AC100" s="144"/>
      <c r="AD100" s="144"/>
      <c r="AE100" s="144" t="s">
        <v>197</v>
      </c>
      <c r="AF100" s="148" t="str">
        <f>IFERROR(INDEX(Tabla10[ID],MATCH(BASE_GRAL[[#This Row],[EMPRESA ADJUDICADA]],Tabla10[Alias],0)),"")</f>
        <v>PROP_24</v>
      </c>
      <c r="AG100" s="148">
        <v>43812</v>
      </c>
      <c r="AH100" s="150">
        <v>6428644.9800000004</v>
      </c>
      <c r="AI100" s="150"/>
      <c r="AJ100" s="150"/>
      <c r="AK100" s="150">
        <f>+BASE_GRAL[[#This Row],[COMA ADJUDICADO]]+BASE_GRAL[[#This Row],[AVI ADJUDICADO]]</f>
        <v>0</v>
      </c>
      <c r="AL100" s="144" t="s">
        <v>1223</v>
      </c>
      <c r="AM100" s="13" t="s">
        <v>607</v>
      </c>
      <c r="AN100" s="94">
        <v>44168</v>
      </c>
    </row>
    <row r="101" spans="1:40" s="118" customFormat="1" x14ac:dyDescent="0.25">
      <c r="A101">
        <v>127</v>
      </c>
      <c r="B101" t="s">
        <v>1491</v>
      </c>
      <c r="C101">
        <f>IFERROR(INDEX(Tabla6[AÑO],MATCH(B101,Tabla6[Alias],0)),"")</f>
        <v>2018</v>
      </c>
      <c r="D101">
        <f>IFERROR(INDEX(Tabla6[DECRETO],MATCH(B101,Tabla6[Alias],0)),"")</f>
        <v>293</v>
      </c>
      <c r="E101" s="6">
        <f>IFERROR(INDEX(Tabla6[Fecha de Promulgación],MATCH(B101,Tabla6[Alias],0)),"")</f>
        <v>43433</v>
      </c>
      <c r="F101">
        <f>IFERROR(INDEX(Tabla6[Tabla],MATCH(B101,Tabla6[Alias],0)),"")</f>
        <v>2</v>
      </c>
      <c r="G101" s="5" t="str">
        <f>IFERROR(INDEX(Tabla6[Sistema],MATCH(B101,Tabla6[Alias],0)),"")</f>
        <v>B</v>
      </c>
      <c r="H101" s="5" t="str">
        <f>IFERROR(INDEX(Tabla6[ID_OBRA],MATCH(B101,Tabla6[Alias],0)),"")</f>
        <v>18_293_Z_OAC_07</v>
      </c>
      <c r="I101" t="str">
        <f>IFERROR(INDEX(Tabla6[Nombre Obra],MATCH(B101,Tabla6[Alias],0)),"")</f>
        <v>Ampliación en S/E Cerrillos</v>
      </c>
      <c r="J101" t="str">
        <f>IFERROR(INDEX(Tabla6[Segmento],MATCH(B101,Tabla6[Alias],0)),"")</f>
        <v>ZONAL</v>
      </c>
      <c r="K101">
        <f>IFERROR(INDEX(Tabla6[Region],MATCH(B101,Tabla6[Alias],0)),"")</f>
        <v>0</v>
      </c>
      <c r="L101" s="13" t="str">
        <f>IFERROR(INDEX(Tabla6[Tipo de Obra],MATCH(B101,Tabla6[Alias],0))," ")</f>
        <v>OAC</v>
      </c>
      <c r="M101" s="13" t="str">
        <f>IFERROR(INDEX(Tabla6[Tipo de Obras],MATCH(B101,Tabla6[Alias],0))," ")</f>
        <v>S/E</v>
      </c>
      <c r="N101" s="13">
        <f>IFERROR(INDEX(Tabla6[Plazo constructivo],MATCH(B101,Tabla6[Alias],0))," ")</f>
        <v>24</v>
      </c>
      <c r="O101" s="14">
        <f>IFERROR(INDEX(Tabla6[Fecha EO],MATCH(B101,Tabla6[Alias],0))," ")</f>
        <v>0</v>
      </c>
      <c r="P101" s="95">
        <f>IFERROR(INDEX(Tabla6[AVI REF],MATCH(B101,Tabla6[Alias],0))," ")</f>
        <v>3387459</v>
      </c>
      <c r="Q101" s="95">
        <f>IFERROR(INDEX(Tabla6[COMA REF],MATCH(B101,Tabla6[Alias],0))," ")</f>
        <v>54199.344000000005</v>
      </c>
      <c r="R101" s="95">
        <f>IFERROR(INDEX(Tabla6[VATT REF '[AVI + COMA']],MATCH(B101,Tabla6[Alias],0))," ")</f>
        <v>3441658.344</v>
      </c>
      <c r="S101" t="str">
        <f>IFERROR(INDEX(Tabla6[Propietario],MATCH(B101,Tabla6[Alias],0))," ")</f>
        <v>CGE S.A.</v>
      </c>
      <c r="T101" t="s">
        <v>44</v>
      </c>
      <c r="U101"/>
      <c r="V101" s="144" t="s">
        <v>1301</v>
      </c>
      <c r="W101" s="145" t="s">
        <v>155</v>
      </c>
      <c r="X101" s="145" t="s">
        <v>106</v>
      </c>
      <c r="Y101" s="144" t="s">
        <v>120</v>
      </c>
      <c r="Z101" s="145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3_PROC_ON_19_G03</v>
      </c>
      <c r="AA101" s="153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3_PROC_ON_19_G03_SG03</v>
      </c>
      <c r="AB101" s="146" t="s">
        <v>215</v>
      </c>
      <c r="AC101" s="144"/>
      <c r="AD101" s="144"/>
      <c r="AE101" s="147" t="s">
        <v>317</v>
      </c>
      <c r="AF101" s="148" t="str">
        <f>IFERROR(INDEX(Tabla10[ID],MATCH(BASE_GRAL[[#This Row],[EMPRESA ADJUDICADA]],Tabla10[Alias],0)),"")</f>
        <v/>
      </c>
      <c r="AG101" s="145" t="s">
        <v>317</v>
      </c>
      <c r="AH101" s="150" t="s">
        <v>317</v>
      </c>
      <c r="AI101" s="150"/>
      <c r="AJ101" s="150"/>
      <c r="AK101" s="150">
        <f>+BASE_GRAL[[#This Row],[COMA ADJUDICADO]]+BASE_GRAL[[#This Row],[AVI ADJUDICADO]]</f>
        <v>0</v>
      </c>
      <c r="AL101" s="144" t="s">
        <v>1224</v>
      </c>
      <c r="AM101" s="13"/>
      <c r="AN101" s="94"/>
    </row>
    <row r="102" spans="1:40" s="118" customFormat="1" x14ac:dyDescent="0.25">
      <c r="A102">
        <v>128</v>
      </c>
      <c r="B102" t="s">
        <v>1492</v>
      </c>
      <c r="C102">
        <f>IFERROR(INDEX(Tabla6[AÑO],MATCH(B102,Tabla6[Alias],0)),"")</f>
        <v>2018</v>
      </c>
      <c r="D102">
        <f>IFERROR(INDEX(Tabla6[DECRETO],MATCH(B102,Tabla6[Alias],0)),"")</f>
        <v>293</v>
      </c>
      <c r="E102" s="6">
        <f>IFERROR(INDEX(Tabla6[Fecha de Promulgación],MATCH(B102,Tabla6[Alias],0)),"")</f>
        <v>43433</v>
      </c>
      <c r="F102">
        <f>IFERROR(INDEX(Tabla6[Tabla],MATCH(B102,Tabla6[Alias],0)),"")</f>
        <v>2</v>
      </c>
      <c r="G102" s="5" t="str">
        <f>IFERROR(INDEX(Tabla6[Sistema],MATCH(B102,Tabla6[Alias],0)),"")</f>
        <v>B</v>
      </c>
      <c r="H102" s="5" t="str">
        <f>IFERROR(INDEX(Tabla6[ID_OBRA],MATCH(B102,Tabla6[Alias],0)),"")</f>
        <v>18_293_Z_OAC_08</v>
      </c>
      <c r="I102" t="str">
        <f>IFERROR(INDEX(Tabla6[Nombre Obra],MATCH(B102,Tabla6[Alias],0)),"")</f>
        <v>Ampliación en S/E Atacama Kozán</v>
      </c>
      <c r="J102" t="str">
        <f>IFERROR(INDEX(Tabla6[Segmento],MATCH(B102,Tabla6[Alias],0)),"")</f>
        <v>ZONAL</v>
      </c>
      <c r="K102">
        <f>IFERROR(INDEX(Tabla6[Region],MATCH(B102,Tabla6[Alias],0)),"")</f>
        <v>0</v>
      </c>
      <c r="L102" s="13" t="str">
        <f>IFERROR(INDEX(Tabla6[Tipo de Obra],MATCH(B102,Tabla6[Alias],0))," ")</f>
        <v>OAC</v>
      </c>
      <c r="M102" s="13" t="str">
        <f>IFERROR(INDEX(Tabla6[Tipo de Obras],MATCH(B102,Tabla6[Alias],0))," ")</f>
        <v>S/E</v>
      </c>
      <c r="N102" s="13">
        <f>IFERROR(INDEX(Tabla6[Plazo constructivo],MATCH(B102,Tabla6[Alias],0))," ")</f>
        <v>24</v>
      </c>
      <c r="O102" s="14">
        <f>IFERROR(INDEX(Tabla6[Fecha EO],MATCH(B102,Tabla6[Alias],0))," ")</f>
        <v>0</v>
      </c>
      <c r="P102" s="95">
        <f>IFERROR(INDEX(Tabla6[AVI REF],MATCH(B102,Tabla6[Alias],0))," ")</f>
        <v>965200</v>
      </c>
      <c r="Q102" s="95">
        <f>IFERROR(INDEX(Tabla6[COMA REF],MATCH(B102,Tabla6[Alias],0))," ")</f>
        <v>15443.2</v>
      </c>
      <c r="R102" s="95">
        <f>IFERROR(INDEX(Tabla6[VATT REF '[AVI + COMA']],MATCH(B102,Tabla6[Alias],0))," ")</f>
        <v>980643.2</v>
      </c>
      <c r="S102" t="str">
        <f>IFERROR(INDEX(Tabla6[Propietario],MATCH(B102,Tabla6[Alias],0))," ")</f>
        <v>Soc. Contractual Minera Atacama Kozán</v>
      </c>
      <c r="T102" t="s">
        <v>44</v>
      </c>
      <c r="U102"/>
      <c r="V102" s="144" t="s">
        <v>1301</v>
      </c>
      <c r="W102" s="145" t="s">
        <v>155</v>
      </c>
      <c r="X102" s="145" t="s">
        <v>106</v>
      </c>
      <c r="Y102" s="144" t="s">
        <v>120</v>
      </c>
      <c r="Z102" s="145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3_PROC_ON_19_G03</v>
      </c>
      <c r="AA102" s="153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3_PROC_ON_19_G03_SG03</v>
      </c>
      <c r="AB102" s="146" t="s">
        <v>216</v>
      </c>
      <c r="AC102" s="144"/>
      <c r="AD102" s="144"/>
      <c r="AE102" s="147" t="s">
        <v>317</v>
      </c>
      <c r="AF102" s="148" t="str">
        <f>IFERROR(INDEX(Tabla10[ID],MATCH(BASE_GRAL[[#This Row],[EMPRESA ADJUDICADA]],Tabla10[Alias],0)),"")</f>
        <v/>
      </c>
      <c r="AG102" s="145" t="s">
        <v>317</v>
      </c>
      <c r="AH102" s="150" t="s">
        <v>317</v>
      </c>
      <c r="AI102" s="150"/>
      <c r="AJ102" s="150"/>
      <c r="AK102" s="150">
        <f>+BASE_GRAL[[#This Row],[COMA ADJUDICADO]]+BASE_GRAL[[#This Row],[AVI ADJUDICADO]]</f>
        <v>0</v>
      </c>
      <c r="AL102" s="144" t="s">
        <v>1224</v>
      </c>
      <c r="AM102" s="13"/>
      <c r="AN102" s="94"/>
    </row>
    <row r="103" spans="1:40" s="118" customFormat="1" x14ac:dyDescent="0.25">
      <c r="A103">
        <v>121</v>
      </c>
      <c r="B103" t="s">
        <v>1493</v>
      </c>
      <c r="C103">
        <f>IFERROR(INDEX(Tabla6[AÑO],MATCH(B103,Tabla6[Alias],0)),"")</f>
        <v>2018</v>
      </c>
      <c r="D103">
        <f>IFERROR(INDEX(Tabla6[DECRETO],MATCH(B103,Tabla6[Alias],0)),"")</f>
        <v>293</v>
      </c>
      <c r="E103" s="6">
        <f>IFERROR(INDEX(Tabla6[Fecha de Promulgación],MATCH(B103,Tabla6[Alias],0)),"")</f>
        <v>43433</v>
      </c>
      <c r="F103">
        <f>IFERROR(INDEX(Tabla6[Tabla],MATCH(B103,Tabla6[Alias],0)),"")</f>
        <v>1</v>
      </c>
      <c r="G103" s="5">
        <f>IFERROR(INDEX(Tabla6[Sistema],MATCH(B103,Tabla6[Alias],0)),"")</f>
        <v>0</v>
      </c>
      <c r="H103" s="5" t="str">
        <f>IFERROR(INDEX(Tabla6[ID_OBRA],MATCH(B103,Tabla6[Alias],0)),"")</f>
        <v>18_293_N_OAC_01</v>
      </c>
      <c r="I103" t="str">
        <f>IFERROR(INDEX(Tabla6[Nombre Obra],MATCH(B103,Tabla6[Alias],0)),"")</f>
        <v>Ampliación en S/E Candelaria</v>
      </c>
      <c r="J103" t="str">
        <f>IFERROR(INDEX(Tabla6[Segmento],MATCH(B103,Tabla6[Alias],0)),"")</f>
        <v>NACIONAL</v>
      </c>
      <c r="K103">
        <f>IFERROR(INDEX(Tabla6[Region],MATCH(B103,Tabla6[Alias],0)),"")</f>
        <v>0</v>
      </c>
      <c r="L103" s="13" t="str">
        <f>IFERROR(INDEX(Tabla6[Tipo de Obra],MATCH(B103,Tabla6[Alias],0))," ")</f>
        <v>OAC</v>
      </c>
      <c r="M103" s="13" t="str">
        <f>IFERROR(INDEX(Tabla6[Tipo de Obras],MATCH(B103,Tabla6[Alias],0))," ")</f>
        <v>S/E</v>
      </c>
      <c r="N103" s="13">
        <f>IFERROR(INDEX(Tabla6[Plazo constructivo],MATCH(B103,Tabla6[Alias],0))," ")</f>
        <v>24</v>
      </c>
      <c r="O103" s="14">
        <f>IFERROR(INDEX(Tabla6[Fecha EO],MATCH(B103,Tabla6[Alias],0))," ")</f>
        <v>0</v>
      </c>
      <c r="P103" s="95">
        <f>IFERROR(INDEX(Tabla6[AVI REF],MATCH(B103,Tabla6[Alias],0))," ")</f>
        <v>1796534</v>
      </c>
      <c r="Q103" s="95">
        <f>IFERROR(INDEX(Tabla6[COMA REF],MATCH(B103,Tabla6[Alias],0))," ")</f>
        <v>28744.544000000002</v>
      </c>
      <c r="R103" s="95">
        <f>IFERROR(INDEX(Tabla6[VATT REF '[AVI + COMA']],MATCH(B103,Tabla6[Alias],0))," ")</f>
        <v>1825278.544</v>
      </c>
      <c r="S103" t="str">
        <f>IFERROR(INDEX(Tabla6[Propietario],MATCH(B103,Tabla6[Alias],0))," ")</f>
        <v>Colbún S.A.</v>
      </c>
      <c r="T103" t="s">
        <v>44</v>
      </c>
      <c r="U103" t="s">
        <v>1258</v>
      </c>
      <c r="V103" s="144" t="s">
        <v>1301</v>
      </c>
      <c r="W103" s="145" t="s">
        <v>155</v>
      </c>
      <c r="X103" s="145" t="s">
        <v>107</v>
      </c>
      <c r="Y103" s="144" t="s">
        <v>124</v>
      </c>
      <c r="Z103" s="145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3_PROC_ON_19_G04</v>
      </c>
      <c r="AA103" s="153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3_PROC_ON_19_G04_SG04</v>
      </c>
      <c r="AB103" s="146" t="s">
        <v>209</v>
      </c>
      <c r="AC103" s="144"/>
      <c r="AD103" s="144"/>
      <c r="AE103" s="144" t="s">
        <v>197</v>
      </c>
      <c r="AF103" s="148" t="str">
        <f>IFERROR(INDEX(Tabla10[ID],MATCH(BASE_GRAL[[#This Row],[EMPRESA ADJUDICADA]],Tabla10[Alias],0)),"")</f>
        <v>PROP_24</v>
      </c>
      <c r="AG103" s="149">
        <v>43894</v>
      </c>
      <c r="AH103" s="150">
        <v>2148767</v>
      </c>
      <c r="AI103" s="150"/>
      <c r="AJ103" s="150"/>
      <c r="AK103" s="150">
        <f>+BASE_GRAL[[#This Row],[COMA ADJUDICADO]]+BASE_GRAL[[#This Row],[AVI ADJUDICADO]]</f>
        <v>0</v>
      </c>
      <c r="AL103" s="144" t="s">
        <v>1223</v>
      </c>
      <c r="AM103" s="13" t="s">
        <v>1308</v>
      </c>
      <c r="AN103" s="94">
        <v>44090</v>
      </c>
    </row>
    <row r="104" spans="1:40" s="118" customFormat="1" x14ac:dyDescent="0.25">
      <c r="A104">
        <v>129</v>
      </c>
      <c r="B104" t="s">
        <v>1494</v>
      </c>
      <c r="C104">
        <f>IFERROR(INDEX(Tabla6[AÑO],MATCH(B104,Tabla6[Alias],0)),"")</f>
        <v>2018</v>
      </c>
      <c r="D104">
        <f>IFERROR(INDEX(Tabla6[DECRETO],MATCH(B104,Tabla6[Alias],0)),"")</f>
        <v>293</v>
      </c>
      <c r="E104" s="6">
        <f>IFERROR(INDEX(Tabla6[Fecha de Promulgación],MATCH(B104,Tabla6[Alias],0)),"")</f>
        <v>43433</v>
      </c>
      <c r="F104">
        <f>IFERROR(INDEX(Tabla6[Tabla],MATCH(B104,Tabla6[Alias],0)),"")</f>
        <v>2</v>
      </c>
      <c r="G104" s="5" t="str">
        <f>IFERROR(INDEX(Tabla6[Sistema],MATCH(B104,Tabla6[Alias],0)),"")</f>
        <v>B</v>
      </c>
      <c r="H104" s="5" t="str">
        <f>IFERROR(INDEX(Tabla6[ID_OBRA],MATCH(B104,Tabla6[Alias],0)),"")</f>
        <v>18_293_Z_OA_09</v>
      </c>
      <c r="I104" t="str">
        <f>IFERROR(INDEX(Tabla6[Nombre Obra],MATCH(B104,Tabla6[Alias],0)),"")</f>
        <v>Ampliación en S/E Plantas</v>
      </c>
      <c r="J104" t="str">
        <f>IFERROR(INDEX(Tabla6[Segmento],MATCH(B104,Tabla6[Alias],0)),"")</f>
        <v>ZONAL</v>
      </c>
      <c r="K104">
        <f>IFERROR(INDEX(Tabla6[Region],MATCH(B104,Tabla6[Alias],0)),"")</f>
        <v>0</v>
      </c>
      <c r="L104" s="13" t="str">
        <f>IFERROR(INDEX(Tabla6[Tipo de Obra],MATCH(B104,Tabla6[Alias],0))," ")</f>
        <v>OA</v>
      </c>
      <c r="M104" s="13" t="str">
        <f>IFERROR(INDEX(Tabla6[Tipo de Obras],MATCH(B104,Tabla6[Alias],0))," ")</f>
        <v>S/E</v>
      </c>
      <c r="N104" s="13">
        <f>IFERROR(INDEX(Tabla6[Plazo constructivo],MATCH(B104,Tabla6[Alias],0))," ")</f>
        <v>24</v>
      </c>
      <c r="O104" s="14">
        <f>IFERROR(INDEX(Tabla6[Fecha EO],MATCH(B104,Tabla6[Alias],0))," ")</f>
        <v>0</v>
      </c>
      <c r="P104" s="95">
        <f>IFERROR(INDEX(Tabla6[AVI REF],MATCH(B104,Tabla6[Alias],0))," ")</f>
        <v>11676198</v>
      </c>
      <c r="Q104" s="95">
        <f>IFERROR(INDEX(Tabla6[COMA REF],MATCH(B104,Tabla6[Alias],0))," ")</f>
        <v>186819.16800000001</v>
      </c>
      <c r="R104" s="95">
        <f>IFERROR(INDEX(Tabla6[VATT REF '[AVI + COMA']],MATCH(B104,Tabla6[Alias],0))," ")</f>
        <v>11863017.168</v>
      </c>
      <c r="S104" t="str">
        <f>IFERROR(INDEX(Tabla6[Propietario],MATCH(B104,Tabla6[Alias],0))," ")</f>
        <v>CGE S.A.</v>
      </c>
      <c r="T104" t="s">
        <v>44</v>
      </c>
      <c r="U104"/>
      <c r="V104" s="135" t="s">
        <v>1261</v>
      </c>
      <c r="W104" s="137" t="s">
        <v>155</v>
      </c>
      <c r="X104" s="137" t="s">
        <v>104</v>
      </c>
      <c r="Y104" s="135"/>
      <c r="Z104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3_PROC_OA_19_G01</v>
      </c>
      <c r="AA104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04" s="139" t="s">
        <v>217</v>
      </c>
      <c r="AC104" s="135"/>
      <c r="AD104" s="135"/>
      <c r="AE104" s="135" t="s">
        <v>197</v>
      </c>
      <c r="AF104" s="141" t="str">
        <f>IFERROR(INDEX(Tabla10[ID],MATCH(BASE_GRAL[[#This Row],[EMPRESA ADJUDICADA]],Tabla10[Alias],0)),"")</f>
        <v>PROP_24</v>
      </c>
      <c r="AG104" s="141">
        <v>43812</v>
      </c>
      <c r="AH104" s="138">
        <v>10367361.18</v>
      </c>
      <c r="AI104" s="138"/>
      <c r="AJ104" s="138"/>
      <c r="AK104" s="138">
        <f>+BASE_GRAL[[#This Row],[COMA ADJUDICADO]]+BASE_GRAL[[#This Row],[AVI ADJUDICADO]]</f>
        <v>0</v>
      </c>
      <c r="AL104" s="135" t="s">
        <v>1223</v>
      </c>
      <c r="AM104" s="13" t="s">
        <v>607</v>
      </c>
      <c r="AN104" s="94">
        <v>44168</v>
      </c>
    </row>
    <row r="105" spans="1:40" s="118" customFormat="1" x14ac:dyDescent="0.25">
      <c r="A105">
        <v>130</v>
      </c>
      <c r="B105" t="s">
        <v>1495</v>
      </c>
      <c r="C105">
        <f>IFERROR(INDEX(Tabla6[AÑO],MATCH(B105,Tabla6[Alias],0)),"")</f>
        <v>2018</v>
      </c>
      <c r="D105">
        <f>IFERROR(INDEX(Tabla6[DECRETO],MATCH(B105,Tabla6[Alias],0)),"")</f>
        <v>293</v>
      </c>
      <c r="E105" s="6">
        <f>IFERROR(INDEX(Tabla6[Fecha de Promulgación],MATCH(B105,Tabla6[Alias],0)),"")</f>
        <v>43433</v>
      </c>
      <c r="F105">
        <f>IFERROR(INDEX(Tabla6[Tabla],MATCH(B105,Tabla6[Alias],0)),"")</f>
        <v>2</v>
      </c>
      <c r="G105" s="5" t="str">
        <f>IFERROR(INDEX(Tabla6[Sistema],MATCH(B105,Tabla6[Alias],0)),"")</f>
        <v>B</v>
      </c>
      <c r="H105" s="5" t="str">
        <f>IFERROR(INDEX(Tabla6[ID_OBRA],MATCH(B105,Tabla6[Alias],0)),"")</f>
        <v>18_293_Z_OA_10</v>
      </c>
      <c r="I105" t="str">
        <f>IFERROR(INDEX(Tabla6[Nombre Obra],MATCH(B105,Tabla6[Alias],0)),"")</f>
        <v>Nuevo Transformador en S/E Illapel</v>
      </c>
      <c r="J105" t="str">
        <f>IFERROR(INDEX(Tabla6[Segmento],MATCH(B105,Tabla6[Alias],0)),"")</f>
        <v>ZONAL</v>
      </c>
      <c r="K105">
        <f>IFERROR(INDEX(Tabla6[Region],MATCH(B105,Tabla6[Alias],0)),"")</f>
        <v>0</v>
      </c>
      <c r="L105" s="13" t="str">
        <f>IFERROR(INDEX(Tabla6[Tipo de Obra],MATCH(B105,Tabla6[Alias],0))," ")</f>
        <v>OA</v>
      </c>
      <c r="M105" s="13" t="str">
        <f>IFERROR(INDEX(Tabla6[Tipo de Obras],MATCH(B105,Tabla6[Alias],0))," ")</f>
        <v>S/E</v>
      </c>
      <c r="N105" s="13">
        <f>IFERROR(INDEX(Tabla6[Plazo constructivo],MATCH(B105,Tabla6[Alias],0))," ")</f>
        <v>24</v>
      </c>
      <c r="O105" s="14">
        <f>IFERROR(INDEX(Tabla6[Fecha EO],MATCH(B105,Tabla6[Alias],0))," ")</f>
        <v>0</v>
      </c>
      <c r="P105" s="95">
        <f>IFERROR(INDEX(Tabla6[AVI REF],MATCH(B105,Tabla6[Alias],0))," ")</f>
        <v>3415121</v>
      </c>
      <c r="Q105" s="95">
        <f>IFERROR(INDEX(Tabla6[COMA REF],MATCH(B105,Tabla6[Alias],0))," ")</f>
        <v>54641.936000000002</v>
      </c>
      <c r="R105" s="95">
        <f>IFERROR(INDEX(Tabla6[VATT REF '[AVI + COMA']],MATCH(B105,Tabla6[Alias],0))," ")</f>
        <v>3469762.9360000002</v>
      </c>
      <c r="S105" t="str">
        <f>IFERROR(INDEX(Tabla6[Propietario],MATCH(B105,Tabla6[Alias],0))," ")</f>
        <v>CGE S.A.</v>
      </c>
      <c r="T105" t="s">
        <v>44</v>
      </c>
      <c r="U105"/>
      <c r="V105" s="135" t="s">
        <v>1261</v>
      </c>
      <c r="W105" s="137" t="s">
        <v>155</v>
      </c>
      <c r="X105" s="137" t="s">
        <v>105</v>
      </c>
      <c r="Y105" s="135"/>
      <c r="Z105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3_PROC_OA_19_G02</v>
      </c>
      <c r="AA105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05" s="139" t="s">
        <v>218</v>
      </c>
      <c r="AC105" s="135"/>
      <c r="AD105" s="135"/>
      <c r="AE105" s="140" t="s">
        <v>317</v>
      </c>
      <c r="AF105" s="141" t="str">
        <f>IFERROR(INDEX(Tabla10[ID],MATCH(BASE_GRAL[[#This Row],[EMPRESA ADJUDICADA]],Tabla10[Alias],0)),"")</f>
        <v/>
      </c>
      <c r="AG105" s="137" t="s">
        <v>317</v>
      </c>
      <c r="AH105" s="138" t="s">
        <v>317</v>
      </c>
      <c r="AI105" s="138"/>
      <c r="AJ105" s="138"/>
      <c r="AK105" s="138">
        <f>+BASE_GRAL[[#This Row],[COMA ADJUDICADO]]+BASE_GRAL[[#This Row],[AVI ADJUDICADO]]</f>
        <v>0</v>
      </c>
      <c r="AL105" s="135" t="s">
        <v>1226</v>
      </c>
      <c r="AM105" s="13" t="s">
        <v>317</v>
      </c>
      <c r="AN105" s="94" t="s">
        <v>317</v>
      </c>
    </row>
    <row r="106" spans="1:40" s="118" customFormat="1" x14ac:dyDescent="0.25">
      <c r="A106">
        <v>131</v>
      </c>
      <c r="B106" t="s">
        <v>1496</v>
      </c>
      <c r="C106">
        <f>IFERROR(INDEX(Tabla6[AÑO],MATCH(B106,Tabla6[Alias],0)),"")</f>
        <v>2018</v>
      </c>
      <c r="D106">
        <f>IFERROR(INDEX(Tabla6[DECRETO],MATCH(B106,Tabla6[Alias],0)),"")</f>
        <v>293</v>
      </c>
      <c r="E106" s="6">
        <f>IFERROR(INDEX(Tabla6[Fecha de Promulgación],MATCH(B106,Tabla6[Alias],0)),"")</f>
        <v>43433</v>
      </c>
      <c r="F106">
        <f>IFERROR(INDEX(Tabla6[Tabla],MATCH(B106,Tabla6[Alias],0)),"")</f>
        <v>5</v>
      </c>
      <c r="G106" s="5" t="str">
        <f>IFERROR(INDEX(Tabla6[Sistema],MATCH(B106,Tabla6[Alias],0)),"")</f>
        <v>C</v>
      </c>
      <c r="H106" s="5" t="str">
        <f>IFERROR(INDEX(Tabla6[ID_OBRA],MATCH(B106,Tabla6[Alias],0)),"")</f>
        <v>18_293_Z_OA_11</v>
      </c>
      <c r="I106" t="str">
        <f>IFERROR(INDEX(Tabla6[Nombre Obra],MATCH(B106,Tabla6[Alias],0)),"")</f>
        <v>Nueva S/E Móvil Región de Valparaíso</v>
      </c>
      <c r="J106" t="str">
        <f>IFERROR(INDEX(Tabla6[Segmento],MATCH(B106,Tabla6[Alias],0)),"")</f>
        <v>ZONAL</v>
      </c>
      <c r="K106">
        <f>IFERROR(INDEX(Tabla6[Region],MATCH(B106,Tabla6[Alias],0)),"")</f>
        <v>0</v>
      </c>
      <c r="L106" s="13" t="str">
        <f>IFERROR(INDEX(Tabla6[Tipo de Obra],MATCH(B106,Tabla6[Alias],0))," ")</f>
        <v>OA</v>
      </c>
      <c r="M106" s="13" t="str">
        <f>IFERROR(INDEX(Tabla6[Tipo de Obras],MATCH(B106,Tabla6[Alias],0))," ")</f>
        <v>S/E</v>
      </c>
      <c r="N106" s="13">
        <f>IFERROR(INDEX(Tabla6[Plazo constructivo],MATCH(B106,Tabla6[Alias],0))," ")</f>
        <v>20</v>
      </c>
      <c r="O106" s="14">
        <f>IFERROR(INDEX(Tabla6[Fecha EO],MATCH(B106,Tabla6[Alias],0))," ")</f>
        <v>0</v>
      </c>
      <c r="P106" s="95">
        <f>IFERROR(INDEX(Tabla6[AVI REF],MATCH(B106,Tabla6[Alias],0))," ")</f>
        <v>3671532</v>
      </c>
      <c r="Q106" s="95">
        <f>IFERROR(INDEX(Tabla6[COMA REF],MATCH(B106,Tabla6[Alias],0))," ")</f>
        <v>58744.512000000002</v>
      </c>
      <c r="R106" s="95">
        <f>IFERROR(INDEX(Tabla6[VATT REF '[AVI + COMA']],MATCH(B106,Tabla6[Alias],0))," ")</f>
        <v>3730276.5120000001</v>
      </c>
      <c r="S106" t="str">
        <f>IFERROR(INDEX(Tabla6[Propietario],MATCH(B106,Tabla6[Alias],0))," ")</f>
        <v>Chilquinta</v>
      </c>
      <c r="T106" t="s">
        <v>44</v>
      </c>
      <c r="U106"/>
      <c r="V106" s="135" t="s">
        <v>1261</v>
      </c>
      <c r="W106" s="137" t="s">
        <v>155</v>
      </c>
      <c r="X106" s="137" t="s">
        <v>114</v>
      </c>
      <c r="Y106" s="135"/>
      <c r="Z106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3_PROC_OA_19_G11</v>
      </c>
      <c r="AA106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06" s="139" t="s">
        <v>219</v>
      </c>
      <c r="AC106" s="135"/>
      <c r="AD106" s="135"/>
      <c r="AE106" s="135" t="s">
        <v>1237</v>
      </c>
      <c r="AF106" s="141" t="str">
        <f>IFERROR(INDEX(Tabla10[ID],MATCH(BASE_GRAL[[#This Row],[EMPRESA ADJUDICADA]],Tabla10[Alias],0)),"")</f>
        <v>PROP_25</v>
      </c>
      <c r="AG106" s="141">
        <v>43812</v>
      </c>
      <c r="AH106" s="138">
        <v>1977383.13</v>
      </c>
      <c r="AI106" s="138"/>
      <c r="AJ106" s="138"/>
      <c r="AK106" s="138">
        <f>+BASE_GRAL[[#This Row],[COMA ADJUDICADO]]+BASE_GRAL[[#This Row],[AVI ADJUDICADO]]</f>
        <v>0</v>
      </c>
      <c r="AL106" s="135" t="s">
        <v>1223</v>
      </c>
      <c r="AM106" s="13" t="s">
        <v>607</v>
      </c>
      <c r="AN106" s="94">
        <v>44168</v>
      </c>
    </row>
    <row r="107" spans="1:40" s="118" customFormat="1" x14ac:dyDescent="0.25">
      <c r="A107">
        <v>132</v>
      </c>
      <c r="B107" t="s">
        <v>1497</v>
      </c>
      <c r="C107">
        <f>IFERROR(INDEX(Tabla6[AÑO],MATCH(B107,Tabla6[Alias],0)),"")</f>
        <v>2018</v>
      </c>
      <c r="D107">
        <f>IFERROR(INDEX(Tabla6[DECRETO],MATCH(B107,Tabla6[Alias],0)),"")</f>
        <v>293</v>
      </c>
      <c r="E107" s="6">
        <f>IFERROR(INDEX(Tabla6[Fecha de Promulgación],MATCH(B107,Tabla6[Alias],0)),"")</f>
        <v>43433</v>
      </c>
      <c r="F107">
        <f>IFERROR(INDEX(Tabla6[Tabla],MATCH(B107,Tabla6[Alias],0)),"")</f>
        <v>5</v>
      </c>
      <c r="G107" s="5" t="str">
        <f>IFERROR(INDEX(Tabla6[Sistema],MATCH(B107,Tabla6[Alias],0)),"")</f>
        <v>C</v>
      </c>
      <c r="H107" s="5" t="str">
        <f>IFERROR(INDEX(Tabla6[ID_OBRA],MATCH(B107,Tabla6[Alias],0)),"")</f>
        <v>18_293_Z_OA_12</v>
      </c>
      <c r="I107" t="str">
        <f>IFERROR(INDEX(Tabla6[Nombre Obra],MATCH(B107,Tabla6[Alias],0)),"")</f>
        <v>Tendido segundo circuito Línea 2x110 kV Agua Santa - Placilla</v>
      </c>
      <c r="J107" t="str">
        <f>IFERROR(INDEX(Tabla6[Segmento],MATCH(B107,Tabla6[Alias],0)),"")</f>
        <v>ZONAL</v>
      </c>
      <c r="K107">
        <f>IFERROR(INDEX(Tabla6[Region],MATCH(B107,Tabla6[Alias],0)),"")</f>
        <v>0</v>
      </c>
      <c r="L107" s="13" t="str">
        <f>IFERROR(INDEX(Tabla6[Tipo de Obra],MATCH(B107,Tabla6[Alias],0))," ")</f>
        <v>OA</v>
      </c>
      <c r="M107" s="13" t="str">
        <f>IFERROR(INDEX(Tabla6[Tipo de Obras],MATCH(B107,Tabla6[Alias],0))," ")</f>
        <v>LT</v>
      </c>
      <c r="N107" s="13">
        <f>IFERROR(INDEX(Tabla6[Plazo constructivo],MATCH(B107,Tabla6[Alias],0))," ")</f>
        <v>24</v>
      </c>
      <c r="O107" s="14">
        <f>IFERROR(INDEX(Tabla6[Fecha EO],MATCH(B107,Tabla6[Alias],0))," ")</f>
        <v>0</v>
      </c>
      <c r="P107" s="95">
        <f>IFERROR(INDEX(Tabla6[AVI REF],MATCH(B107,Tabla6[Alias],0))," ")</f>
        <v>1342647</v>
      </c>
      <c r="Q107" s="95">
        <f>IFERROR(INDEX(Tabla6[COMA REF],MATCH(B107,Tabla6[Alias],0))," ")</f>
        <v>21482.351999999999</v>
      </c>
      <c r="R107" s="95">
        <f>IFERROR(INDEX(Tabla6[VATT REF '[AVI + COMA']],MATCH(B107,Tabla6[Alias],0))," ")</f>
        <v>1364129.352</v>
      </c>
      <c r="S107" t="str">
        <f>IFERROR(INDEX(Tabla6[Propietario],MATCH(B107,Tabla6[Alias],0))," ")</f>
        <v>Chilquinta</v>
      </c>
      <c r="T107" t="s">
        <v>44</v>
      </c>
      <c r="U107"/>
      <c r="V107" s="135" t="s">
        <v>1261</v>
      </c>
      <c r="W107" s="137" t="s">
        <v>155</v>
      </c>
      <c r="X107" s="137" t="s">
        <v>106</v>
      </c>
      <c r="Y107" s="135" t="s">
        <v>116</v>
      </c>
      <c r="Z107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3_PROC_OA_19_G03</v>
      </c>
      <c r="AA107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3_PROC_OA_19_G03_SG01</v>
      </c>
      <c r="AB107" s="139" t="s">
        <v>220</v>
      </c>
      <c r="AC107" s="135"/>
      <c r="AD107" s="135"/>
      <c r="AE107" s="135" t="s">
        <v>174</v>
      </c>
      <c r="AF107" s="141" t="str">
        <f>IFERROR(INDEX(Tabla10[ID],MATCH(BASE_GRAL[[#This Row],[EMPRESA ADJUDICADA]],Tabla10[Alias],0)),"")</f>
        <v>PROP_17</v>
      </c>
      <c r="AG107" s="141">
        <v>43812</v>
      </c>
      <c r="AH107" s="138">
        <v>3563295.64</v>
      </c>
      <c r="AI107" s="138"/>
      <c r="AJ107" s="138"/>
      <c r="AK107" s="138">
        <f>+BASE_GRAL[[#This Row],[COMA ADJUDICADO]]+BASE_GRAL[[#This Row],[AVI ADJUDICADO]]</f>
        <v>0</v>
      </c>
      <c r="AL107" s="135" t="s">
        <v>1223</v>
      </c>
      <c r="AM107" s="13" t="s">
        <v>607</v>
      </c>
      <c r="AN107" s="94">
        <v>44168</v>
      </c>
    </row>
    <row r="108" spans="1:40" s="118" customFormat="1" x14ac:dyDescent="0.25">
      <c r="A108">
        <v>133</v>
      </c>
      <c r="B108" t="s">
        <v>1498</v>
      </c>
      <c r="C108">
        <f>IFERROR(INDEX(Tabla6[AÑO],MATCH(B108,Tabla6[Alias],0)),"")</f>
        <v>2018</v>
      </c>
      <c r="D108">
        <f>IFERROR(INDEX(Tabla6[DECRETO],MATCH(B108,Tabla6[Alias],0)),"")</f>
        <v>293</v>
      </c>
      <c r="E108" s="6">
        <f>IFERROR(INDEX(Tabla6[Fecha de Promulgación],MATCH(B108,Tabla6[Alias],0)),"")</f>
        <v>43433</v>
      </c>
      <c r="F108">
        <f>IFERROR(INDEX(Tabla6[Tabla],MATCH(B108,Tabla6[Alias],0)),"")</f>
        <v>5</v>
      </c>
      <c r="G108" s="5" t="str">
        <f>IFERROR(INDEX(Tabla6[Sistema],MATCH(B108,Tabla6[Alias],0)),"")</f>
        <v>C</v>
      </c>
      <c r="H108" s="5" t="str">
        <f>IFERROR(INDEX(Tabla6[ID_OBRA],MATCH(B108,Tabla6[Alias],0)),"")</f>
        <v>18_293_Z_OA_13</v>
      </c>
      <c r="I108" t="str">
        <f>IFERROR(INDEX(Tabla6[Nombre Obra],MATCH(B108,Tabla6[Alias],0)),"")</f>
        <v>Aumento de Capacidad Línea 2x110 kV Aconcagua – Esperanza, Segmento entre S/E Río Aconcagua y S/E Panquehue</v>
      </c>
      <c r="J108" t="str">
        <f>IFERROR(INDEX(Tabla6[Segmento],MATCH(B108,Tabla6[Alias],0)),"")</f>
        <v>ZONAL</v>
      </c>
      <c r="K108">
        <f>IFERROR(INDEX(Tabla6[Region],MATCH(B108,Tabla6[Alias],0)),"")</f>
        <v>0</v>
      </c>
      <c r="L108" s="13" t="str">
        <f>IFERROR(INDEX(Tabla6[Tipo de Obra],MATCH(B108,Tabla6[Alias],0))," ")</f>
        <v>OA</v>
      </c>
      <c r="M108" s="13" t="str">
        <f>IFERROR(INDEX(Tabla6[Tipo de Obras],MATCH(B108,Tabla6[Alias],0))," ")</f>
        <v>LT</v>
      </c>
      <c r="N108" s="13">
        <f>IFERROR(INDEX(Tabla6[Plazo constructivo],MATCH(B108,Tabla6[Alias],0))," ")</f>
        <v>36</v>
      </c>
      <c r="O108" s="14">
        <f>IFERROR(INDEX(Tabla6[Fecha EO],MATCH(B108,Tabla6[Alias],0))," ")</f>
        <v>0</v>
      </c>
      <c r="P108" s="95">
        <f>IFERROR(INDEX(Tabla6[AVI REF],MATCH(B108,Tabla6[Alias],0))," ")</f>
        <v>2101222</v>
      </c>
      <c r="Q108" s="95">
        <f>IFERROR(INDEX(Tabla6[COMA REF],MATCH(B108,Tabla6[Alias],0))," ")</f>
        <v>33619.552000000003</v>
      </c>
      <c r="R108" s="95">
        <f>IFERROR(INDEX(Tabla6[VATT REF '[AVI + COMA']],MATCH(B108,Tabla6[Alias],0))," ")</f>
        <v>2134841.5520000001</v>
      </c>
      <c r="S108" t="str">
        <f>IFERROR(INDEX(Tabla6[Propietario],MATCH(B108,Tabla6[Alias],0))," ")</f>
        <v>Colbún S.A.</v>
      </c>
      <c r="T108" t="s">
        <v>44</v>
      </c>
      <c r="U108"/>
      <c r="V108" s="135" t="s">
        <v>1261</v>
      </c>
      <c r="W108" s="137" t="s">
        <v>155</v>
      </c>
      <c r="X108" s="137" t="s">
        <v>106</v>
      </c>
      <c r="Y108" s="135"/>
      <c r="Z108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3_PROC_OA_19_G03</v>
      </c>
      <c r="AA108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08" s="139" t="s">
        <v>221</v>
      </c>
      <c r="AC108" s="135"/>
      <c r="AD108" s="135"/>
      <c r="AE108" s="135" t="s">
        <v>174</v>
      </c>
      <c r="AF108" s="141" t="str">
        <f>IFERROR(INDEX(Tabla10[ID],MATCH(BASE_GRAL[[#This Row],[EMPRESA ADJUDICADA]],Tabla10[Alias],0)),"")</f>
        <v>PROP_17</v>
      </c>
      <c r="AG108" s="141">
        <v>43812</v>
      </c>
      <c r="AH108" s="138">
        <v>5576503.1200000001</v>
      </c>
      <c r="AI108" s="138"/>
      <c r="AJ108" s="138"/>
      <c r="AK108" s="138">
        <f>+BASE_GRAL[[#This Row],[COMA ADJUDICADO]]+BASE_GRAL[[#This Row],[AVI ADJUDICADO]]</f>
        <v>0</v>
      </c>
      <c r="AL108" s="135" t="s">
        <v>1223</v>
      </c>
      <c r="AM108" s="13" t="s">
        <v>607</v>
      </c>
      <c r="AN108" s="94">
        <v>44168</v>
      </c>
    </row>
    <row r="109" spans="1:40" s="118" customFormat="1" x14ac:dyDescent="0.25">
      <c r="A109">
        <v>134</v>
      </c>
      <c r="B109" t="s">
        <v>1499</v>
      </c>
      <c r="C109">
        <f>IFERROR(INDEX(Tabla6[AÑO],MATCH(B109,Tabla6[Alias],0)),"")</f>
        <v>2018</v>
      </c>
      <c r="D109">
        <f>IFERROR(INDEX(Tabla6[DECRETO],MATCH(B109,Tabla6[Alias],0)),"")</f>
        <v>293</v>
      </c>
      <c r="E109" s="6">
        <f>IFERROR(INDEX(Tabla6[Fecha de Promulgación],MATCH(B109,Tabla6[Alias],0)),"")</f>
        <v>43433</v>
      </c>
      <c r="F109">
        <f>IFERROR(INDEX(Tabla6[Tabla],MATCH(B109,Tabla6[Alias],0)),"")</f>
        <v>5</v>
      </c>
      <c r="G109" s="5" t="str">
        <f>IFERROR(INDEX(Tabla6[Sistema],MATCH(B109,Tabla6[Alias],0)),"")</f>
        <v>C</v>
      </c>
      <c r="H109" s="5" t="str">
        <f>IFERROR(INDEX(Tabla6[ID_OBRA],MATCH(B109,Tabla6[Alias],0)),"")</f>
        <v>18_293_Z_OAC_14</v>
      </c>
      <c r="I109" t="str">
        <f>IFERROR(INDEX(Tabla6[Nombre Obra],MATCH(B109,Tabla6[Alias],0)),"")</f>
        <v>Ampliación en S/E Catemu</v>
      </c>
      <c r="J109" t="str">
        <f>IFERROR(INDEX(Tabla6[Segmento],MATCH(B109,Tabla6[Alias],0)),"")</f>
        <v>ZONAL</v>
      </c>
      <c r="K109">
        <f>IFERROR(INDEX(Tabla6[Region],MATCH(B109,Tabla6[Alias],0)),"")</f>
        <v>0</v>
      </c>
      <c r="L109" s="13" t="str">
        <f>IFERROR(INDEX(Tabla6[Tipo de Obra],MATCH(B109,Tabla6[Alias],0))," ")</f>
        <v>OAC</v>
      </c>
      <c r="M109" s="13" t="str">
        <f>IFERROR(INDEX(Tabla6[Tipo de Obras],MATCH(B109,Tabla6[Alias],0))," ")</f>
        <v>S/E</v>
      </c>
      <c r="N109" s="13">
        <f>IFERROR(INDEX(Tabla6[Plazo constructivo],MATCH(B109,Tabla6[Alias],0))," ")</f>
        <v>20</v>
      </c>
      <c r="O109" s="14">
        <f>IFERROR(INDEX(Tabla6[Fecha EO],MATCH(B109,Tabla6[Alias],0))," ")</f>
        <v>0</v>
      </c>
      <c r="P109" s="95">
        <f>IFERROR(INDEX(Tabla6[AVI REF],MATCH(B109,Tabla6[Alias],0))," ")</f>
        <v>1828702</v>
      </c>
      <c r="Q109" s="95">
        <f>IFERROR(INDEX(Tabla6[COMA REF],MATCH(B109,Tabla6[Alias],0))," ")</f>
        <v>29259.232</v>
      </c>
      <c r="R109" s="95">
        <f>IFERROR(INDEX(Tabla6[VATT REF '[AVI + COMA']],MATCH(B109,Tabla6[Alias],0))," ")</f>
        <v>1857961.2320000001</v>
      </c>
      <c r="S109" t="str">
        <f>IFERROR(INDEX(Tabla6[Propietario],MATCH(B109,Tabla6[Alias],0))," ")</f>
        <v>Chilquinta</v>
      </c>
      <c r="T109" t="s">
        <v>44</v>
      </c>
      <c r="U109"/>
      <c r="V109" s="135"/>
      <c r="W109" s="137" t="s">
        <v>1262</v>
      </c>
      <c r="X109" s="137"/>
      <c r="Y109" s="135"/>
      <c r="Z109" s="137" t="str">
        <f>CONCATENATE(LEFT(BASE_GRAL[[#This Row],[Proceso '[AÑO + DECRETO']]],2),MID(BASE_GRAL[[#This Row],[Proceso '[AÑO + DECRETO']]],3,4),RIGHT(BASE_GRAL[[#This Row],[Proceso '[AÑO + DECRETO']]],6),"_",BASE_GRAL[[#This Row],[Grupo]])</f>
        <v>_</v>
      </c>
      <c r="AA109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09" s="139" t="s">
        <v>222</v>
      </c>
      <c r="AC109" s="135"/>
      <c r="AD109" s="135"/>
      <c r="AE109" s="140" t="s">
        <v>317</v>
      </c>
      <c r="AF109" s="141" t="str">
        <f>IFERROR(INDEX(Tabla10[ID],MATCH(BASE_GRAL[[#This Row],[EMPRESA ADJUDICADA]],Tabla10[Alias],0)),"")</f>
        <v/>
      </c>
      <c r="AG109" s="137" t="s">
        <v>317</v>
      </c>
      <c r="AH109" s="138" t="s">
        <v>317</v>
      </c>
      <c r="AI109" s="138"/>
      <c r="AJ109" s="138"/>
      <c r="AK109" s="138">
        <f>+BASE_GRAL[[#This Row],[COMA ADJUDICADO]]+BASE_GRAL[[#This Row],[AVI ADJUDICADO]]</f>
        <v>0</v>
      </c>
      <c r="AL109" s="135"/>
      <c r="AM109" s="13"/>
      <c r="AN109" s="94"/>
    </row>
    <row r="110" spans="1:40" s="118" customFormat="1" x14ac:dyDescent="0.25">
      <c r="A110">
        <v>135</v>
      </c>
      <c r="B110" t="s">
        <v>1500</v>
      </c>
      <c r="C110">
        <f>IFERROR(INDEX(Tabla6[AÑO],MATCH(B110,Tabla6[Alias],0)),"")</f>
        <v>2018</v>
      </c>
      <c r="D110">
        <f>IFERROR(INDEX(Tabla6[DECRETO],MATCH(B110,Tabla6[Alias],0)),"")</f>
        <v>293</v>
      </c>
      <c r="E110" s="6">
        <f>IFERROR(INDEX(Tabla6[Fecha de Promulgación],MATCH(B110,Tabla6[Alias],0)),"")</f>
        <v>43433</v>
      </c>
      <c r="F110">
        <f>IFERROR(INDEX(Tabla6[Tabla],MATCH(B110,Tabla6[Alias],0)),"")</f>
        <v>5</v>
      </c>
      <c r="G110" s="5" t="str">
        <f>IFERROR(INDEX(Tabla6[Sistema],MATCH(B110,Tabla6[Alias],0)),"")</f>
        <v>C</v>
      </c>
      <c r="H110" s="5" t="str">
        <f>IFERROR(INDEX(Tabla6[ID_OBRA],MATCH(B110,Tabla6[Alias],0)),"")</f>
        <v>18_293_Z_OA_15</v>
      </c>
      <c r="I110" t="str">
        <f>IFERROR(INDEX(Tabla6[Nombre Obra],MATCH(B110,Tabla6[Alias],0)),"")</f>
        <v>Nuevo Transformador en S/E La Calera</v>
      </c>
      <c r="J110" t="str">
        <f>IFERROR(INDEX(Tabla6[Segmento],MATCH(B110,Tabla6[Alias],0)),"")</f>
        <v>ZONAL</v>
      </c>
      <c r="K110">
        <f>IFERROR(INDEX(Tabla6[Region],MATCH(B110,Tabla6[Alias],0)),"")</f>
        <v>0</v>
      </c>
      <c r="L110" s="13" t="str">
        <f>IFERROR(INDEX(Tabla6[Tipo de Obra],MATCH(B110,Tabla6[Alias],0))," ")</f>
        <v>OA</v>
      </c>
      <c r="M110" s="13" t="str">
        <f>IFERROR(INDEX(Tabla6[Tipo de Obras],MATCH(B110,Tabla6[Alias],0))," ")</f>
        <v>S/E</v>
      </c>
      <c r="N110" s="13">
        <f>IFERROR(INDEX(Tabla6[Plazo constructivo],MATCH(B110,Tabla6[Alias],0))," ")</f>
        <v>24</v>
      </c>
      <c r="O110" s="14">
        <f>IFERROR(INDEX(Tabla6[Fecha EO],MATCH(B110,Tabla6[Alias],0))," ")</f>
        <v>0</v>
      </c>
      <c r="P110" s="95">
        <f>IFERROR(INDEX(Tabla6[AVI REF],MATCH(B110,Tabla6[Alias],0))," ")</f>
        <v>1973981</v>
      </c>
      <c r="Q110" s="95">
        <f>IFERROR(INDEX(Tabla6[COMA REF],MATCH(B110,Tabla6[Alias],0))," ")</f>
        <v>31583.696</v>
      </c>
      <c r="R110" s="95">
        <f>IFERROR(INDEX(Tabla6[VATT REF '[AVI + COMA']],MATCH(B110,Tabla6[Alias],0))," ")</f>
        <v>2005564.696</v>
      </c>
      <c r="S110" t="str">
        <f>IFERROR(INDEX(Tabla6[Propietario],MATCH(B110,Tabla6[Alias],0))," ")</f>
        <v>Chilquinta</v>
      </c>
      <c r="T110" t="s">
        <v>44</v>
      </c>
      <c r="U110"/>
      <c r="V110" s="135" t="s">
        <v>1261</v>
      </c>
      <c r="W110" s="137" t="s">
        <v>155</v>
      </c>
      <c r="X110" s="137" t="s">
        <v>106</v>
      </c>
      <c r="Y110" s="135"/>
      <c r="Z110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3_PROC_OA_19_G03</v>
      </c>
      <c r="AA110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10" s="139" t="s">
        <v>223</v>
      </c>
      <c r="AC110" s="135"/>
      <c r="AD110" s="135"/>
      <c r="AE110" s="135" t="s">
        <v>174</v>
      </c>
      <c r="AF110" s="141" t="str">
        <f>IFERROR(INDEX(Tabla10[ID],MATCH(BASE_GRAL[[#This Row],[EMPRESA ADJUDICADA]],Tabla10[Alias],0)),"")</f>
        <v>PROP_17</v>
      </c>
      <c r="AG110" s="141">
        <v>43812</v>
      </c>
      <c r="AH110" s="138">
        <v>5238813.99</v>
      </c>
      <c r="AI110" s="138"/>
      <c r="AJ110" s="138"/>
      <c r="AK110" s="138">
        <f>+BASE_GRAL[[#This Row],[COMA ADJUDICADO]]+BASE_GRAL[[#This Row],[AVI ADJUDICADO]]</f>
        <v>0</v>
      </c>
      <c r="AL110" s="135" t="s">
        <v>1223</v>
      </c>
      <c r="AM110" s="13" t="s">
        <v>607</v>
      </c>
      <c r="AN110" s="94">
        <v>44168</v>
      </c>
    </row>
    <row r="111" spans="1:40" s="118" customFormat="1" x14ac:dyDescent="0.25">
      <c r="A111">
        <v>136</v>
      </c>
      <c r="B111" t="s">
        <v>1501</v>
      </c>
      <c r="C111">
        <f>IFERROR(INDEX(Tabla6[AÑO],MATCH(B111,Tabla6[Alias],0)),"")</f>
        <v>2018</v>
      </c>
      <c r="D111">
        <f>IFERROR(INDEX(Tabla6[DECRETO],MATCH(B111,Tabla6[Alias],0)),"")</f>
        <v>293</v>
      </c>
      <c r="E111" s="6">
        <f>IFERROR(INDEX(Tabla6[Fecha de Promulgación],MATCH(B111,Tabla6[Alias],0)),"")</f>
        <v>43433</v>
      </c>
      <c r="F111">
        <f>IFERROR(INDEX(Tabla6[Tabla],MATCH(B111,Tabla6[Alias],0)),"")</f>
        <v>5</v>
      </c>
      <c r="G111" s="5" t="str">
        <f>IFERROR(INDEX(Tabla6[Sistema],MATCH(B111,Tabla6[Alias],0)),"")</f>
        <v>C</v>
      </c>
      <c r="H111" s="5" t="str">
        <f>IFERROR(INDEX(Tabla6[ID_OBRA],MATCH(B111,Tabla6[Alias],0)),"")</f>
        <v>18_293_Z_OA_16</v>
      </c>
      <c r="I111" t="str">
        <f>IFERROR(INDEX(Tabla6[Nombre Obra],MATCH(B111,Tabla6[Alias],0)),"")</f>
        <v>Extensión de Línea 1x66 kV Las Piñatas – San Jerónimo</v>
      </c>
      <c r="J111" t="str">
        <f>IFERROR(INDEX(Tabla6[Segmento],MATCH(B111,Tabla6[Alias],0)),"")</f>
        <v>ZONAL</v>
      </c>
      <c r="K111">
        <f>IFERROR(INDEX(Tabla6[Region],MATCH(B111,Tabla6[Alias],0)),"")</f>
        <v>0</v>
      </c>
      <c r="L111" s="13" t="str">
        <f>IFERROR(INDEX(Tabla6[Tipo de Obra],MATCH(B111,Tabla6[Alias],0))," ")</f>
        <v>OA</v>
      </c>
      <c r="M111" s="13" t="str">
        <f>IFERROR(INDEX(Tabla6[Tipo de Obras],MATCH(B111,Tabla6[Alias],0))," ")</f>
        <v>LT</v>
      </c>
      <c r="N111" s="13">
        <f>IFERROR(INDEX(Tabla6[Plazo constructivo],MATCH(B111,Tabla6[Alias],0))," ")</f>
        <v>12</v>
      </c>
      <c r="O111" s="14">
        <f>IFERROR(INDEX(Tabla6[Fecha EO],MATCH(B111,Tabla6[Alias],0))," ")</f>
        <v>0</v>
      </c>
      <c r="P111" s="95">
        <f>IFERROR(INDEX(Tabla6[AVI REF],MATCH(B111,Tabla6[Alias],0))," ")</f>
        <v>399243</v>
      </c>
      <c r="Q111" s="95">
        <f>IFERROR(INDEX(Tabla6[COMA REF],MATCH(B111,Tabla6[Alias],0))," ")</f>
        <v>6387.8879999999999</v>
      </c>
      <c r="R111" s="95">
        <f>IFERROR(INDEX(Tabla6[VATT REF '[AVI + COMA']],MATCH(B111,Tabla6[Alias],0))," ")</f>
        <v>405630.88799999998</v>
      </c>
      <c r="S111" t="str">
        <f>IFERROR(INDEX(Tabla6[Propietario],MATCH(B111,Tabla6[Alias],0))," ")</f>
        <v>Litoral S.A.</v>
      </c>
      <c r="T111" t="s">
        <v>44</v>
      </c>
      <c r="U111"/>
      <c r="V111" s="135" t="s">
        <v>1261</v>
      </c>
      <c r="W111" s="137" t="s">
        <v>155</v>
      </c>
      <c r="X111" s="137" t="s">
        <v>106</v>
      </c>
      <c r="Y111" s="135" t="s">
        <v>116</v>
      </c>
      <c r="Z111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3_PROC_OA_19_G03</v>
      </c>
      <c r="AA111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3_PROC_OA_19_G03_SG01</v>
      </c>
      <c r="AB111" s="139" t="s">
        <v>224</v>
      </c>
      <c r="AC111" s="135"/>
      <c r="AD111" s="135"/>
      <c r="AE111" s="135" t="s">
        <v>174</v>
      </c>
      <c r="AF111" s="141" t="str">
        <f>IFERROR(INDEX(Tabla10[ID],MATCH(BASE_GRAL[[#This Row],[EMPRESA ADJUDICADA]],Tabla10[Alias],0)),"")</f>
        <v>PROP_17</v>
      </c>
      <c r="AG111" s="141">
        <v>43812</v>
      </c>
      <c r="AH111" s="138">
        <v>1059564.31</v>
      </c>
      <c r="AI111" s="138"/>
      <c r="AJ111" s="138"/>
      <c r="AK111" s="138">
        <f>+BASE_GRAL[[#This Row],[COMA ADJUDICADO]]+BASE_GRAL[[#This Row],[AVI ADJUDICADO]]</f>
        <v>0</v>
      </c>
      <c r="AL111" s="135" t="s">
        <v>1223</v>
      </c>
      <c r="AM111" s="13" t="s">
        <v>607</v>
      </c>
      <c r="AN111" s="94">
        <v>44168</v>
      </c>
    </row>
    <row r="112" spans="1:40" s="118" customFormat="1" x14ac:dyDescent="0.25">
      <c r="A112">
        <v>137</v>
      </c>
      <c r="B112" t="s">
        <v>1502</v>
      </c>
      <c r="C112">
        <f>IFERROR(INDEX(Tabla6[AÑO],MATCH(B112,Tabla6[Alias],0)),"")</f>
        <v>2018</v>
      </c>
      <c r="D112">
        <f>IFERROR(INDEX(Tabla6[DECRETO],MATCH(B112,Tabla6[Alias],0)),"")</f>
        <v>293</v>
      </c>
      <c r="E112" s="6">
        <f>IFERROR(INDEX(Tabla6[Fecha de Promulgación],MATCH(B112,Tabla6[Alias],0)),"")</f>
        <v>43433</v>
      </c>
      <c r="F112">
        <f>IFERROR(INDEX(Tabla6[Tabla],MATCH(B112,Tabla6[Alias],0)),"")</f>
        <v>7</v>
      </c>
      <c r="G112" s="5" t="str">
        <f>IFERROR(INDEX(Tabla6[Sistema],MATCH(B112,Tabla6[Alias],0)),"")</f>
        <v>D</v>
      </c>
      <c r="H112" s="5" t="str">
        <f>IFERROR(INDEX(Tabla6[ID_OBRA],MATCH(B112,Tabla6[Alias],0)),"")</f>
        <v>18_293_Z_OA_17</v>
      </c>
      <c r="I112" t="str">
        <f>IFERROR(INDEX(Tabla6[Nombre Obra],MATCH(B112,Tabla6[Alias],0)),"")</f>
        <v>Adecuaciones en S/E El Salto</v>
      </c>
      <c r="J112" t="str">
        <f>IFERROR(INDEX(Tabla6[Segmento],MATCH(B112,Tabla6[Alias],0)),"")</f>
        <v>ZONAL</v>
      </c>
      <c r="K112">
        <f>IFERROR(INDEX(Tabla6[Region],MATCH(B112,Tabla6[Alias],0)),"")</f>
        <v>0</v>
      </c>
      <c r="L112" s="13" t="str">
        <f>IFERROR(INDEX(Tabla6[Tipo de Obra],MATCH(B112,Tabla6[Alias],0))," ")</f>
        <v>OA</v>
      </c>
      <c r="M112" s="13" t="str">
        <f>IFERROR(INDEX(Tabla6[Tipo de Obras],MATCH(B112,Tabla6[Alias],0))," ")</f>
        <v>S/E</v>
      </c>
      <c r="N112" s="13">
        <f>IFERROR(INDEX(Tabla6[Plazo constructivo],MATCH(B112,Tabla6[Alias],0))," ")</f>
        <v>30</v>
      </c>
      <c r="O112" s="14">
        <f>IFERROR(INDEX(Tabla6[Fecha EO],MATCH(B112,Tabla6[Alias],0))," ")</f>
        <v>0</v>
      </c>
      <c r="P112" s="95">
        <f>IFERROR(INDEX(Tabla6[AVI REF],MATCH(B112,Tabla6[Alias],0))," ")</f>
        <v>4103665.0000000005</v>
      </c>
      <c r="Q112" s="95">
        <f>IFERROR(INDEX(Tabla6[COMA REF],MATCH(B112,Tabla6[Alias],0))," ")</f>
        <v>65658.640000000014</v>
      </c>
      <c r="R112" s="95">
        <f>IFERROR(INDEX(Tabla6[VATT REF '[AVI + COMA']],MATCH(B112,Tabla6[Alias],0))," ")</f>
        <v>4169323.6400000006</v>
      </c>
      <c r="S112" t="str">
        <f>IFERROR(INDEX(Tabla6[Propietario],MATCH(B112,Tabla6[Alias],0))," ")</f>
        <v>Enel Distribución</v>
      </c>
      <c r="T112" t="s">
        <v>44</v>
      </c>
      <c r="U112"/>
      <c r="V112" s="135" t="s">
        <v>1261</v>
      </c>
      <c r="W112" s="137" t="s">
        <v>155</v>
      </c>
      <c r="X112" s="137" t="s">
        <v>107</v>
      </c>
      <c r="Y112" s="135"/>
      <c r="Z112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3_PROC_OA_19_G04</v>
      </c>
      <c r="AA112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12" s="139" t="s">
        <v>225</v>
      </c>
      <c r="AC112" s="135"/>
      <c r="AD112" s="135"/>
      <c r="AE112" s="135" t="s">
        <v>1306</v>
      </c>
      <c r="AF112" s="141" t="str">
        <f>IFERROR(INDEX(Tabla10[ID],MATCH(BASE_GRAL[[#This Row],[EMPRESA ADJUDICADA]],Tabla10[Alias],0)),"")</f>
        <v>PROP_46</v>
      </c>
      <c r="AG112" s="141">
        <v>43812</v>
      </c>
      <c r="AH112" s="138">
        <v>4708356</v>
      </c>
      <c r="AI112" s="138"/>
      <c r="AJ112" s="138"/>
      <c r="AK112" s="138">
        <f>+BASE_GRAL[[#This Row],[COMA ADJUDICADO]]+BASE_GRAL[[#This Row],[AVI ADJUDICADO]]</f>
        <v>0</v>
      </c>
      <c r="AL112" s="135" t="s">
        <v>1223</v>
      </c>
      <c r="AM112" s="13" t="s">
        <v>607</v>
      </c>
      <c r="AN112" s="94">
        <v>44168</v>
      </c>
    </row>
    <row r="113" spans="1:40" s="118" customFormat="1" x14ac:dyDescent="0.25">
      <c r="A113">
        <v>138</v>
      </c>
      <c r="B113" t="s">
        <v>1503</v>
      </c>
      <c r="C113">
        <f>IFERROR(INDEX(Tabla6[AÑO],MATCH(B113,Tabla6[Alias],0)),"")</f>
        <v>2018</v>
      </c>
      <c r="D113">
        <f>IFERROR(INDEX(Tabla6[DECRETO],MATCH(B113,Tabla6[Alias],0)),"")</f>
        <v>293</v>
      </c>
      <c r="E113" s="6">
        <f>IFERROR(INDEX(Tabla6[Fecha de Promulgación],MATCH(B113,Tabla6[Alias],0)),"")</f>
        <v>43433</v>
      </c>
      <c r="F113">
        <f>IFERROR(INDEX(Tabla6[Tabla],MATCH(B113,Tabla6[Alias],0)),"")</f>
        <v>8</v>
      </c>
      <c r="G113" s="5" t="str">
        <f>IFERROR(INDEX(Tabla6[Sistema],MATCH(B113,Tabla6[Alias],0)),"")</f>
        <v>E</v>
      </c>
      <c r="H113" s="5" t="str">
        <f>IFERROR(INDEX(Tabla6[ID_OBRA],MATCH(B113,Tabla6[Alias],0)),"")</f>
        <v>18_293_Z_OA_18</v>
      </c>
      <c r="I113" t="str">
        <f>IFERROR(INDEX(Tabla6[Nombre Obra],MATCH(B113,Tabla6[Alias],0)),"")</f>
        <v>Aumento de Capacidad en S/E Colchagua</v>
      </c>
      <c r="J113" t="str">
        <f>IFERROR(INDEX(Tabla6[Segmento],MATCH(B113,Tabla6[Alias],0)),"")</f>
        <v>ZONAL</v>
      </c>
      <c r="K113">
        <f>IFERROR(INDEX(Tabla6[Region],MATCH(B113,Tabla6[Alias],0)),"")</f>
        <v>0</v>
      </c>
      <c r="L113" s="13" t="str">
        <f>IFERROR(INDEX(Tabla6[Tipo de Obra],MATCH(B113,Tabla6[Alias],0))," ")</f>
        <v>OA</v>
      </c>
      <c r="M113" s="13" t="str">
        <f>IFERROR(INDEX(Tabla6[Tipo de Obras],MATCH(B113,Tabla6[Alias],0))," ")</f>
        <v>S/E</v>
      </c>
      <c r="N113" s="13">
        <f>IFERROR(INDEX(Tabla6[Plazo constructivo],MATCH(B113,Tabla6[Alias],0))," ")</f>
        <v>18</v>
      </c>
      <c r="O113" s="14">
        <f>IFERROR(INDEX(Tabla6[Fecha EO],MATCH(B113,Tabla6[Alias],0))," ")</f>
        <v>0</v>
      </c>
      <c r="P113" s="95">
        <f>IFERROR(INDEX(Tabla6[AVI REF],MATCH(B113,Tabla6[Alias],0))," ")</f>
        <v>1717026</v>
      </c>
      <c r="Q113" s="95">
        <f>IFERROR(INDEX(Tabla6[COMA REF],MATCH(B113,Tabla6[Alias],0))," ")</f>
        <v>27472.416000000001</v>
      </c>
      <c r="R113" s="95">
        <f>IFERROR(INDEX(Tabla6[VATT REF '[AVI + COMA']],MATCH(B113,Tabla6[Alias],0))," ")</f>
        <v>1744498.416</v>
      </c>
      <c r="S113" t="str">
        <f>IFERROR(INDEX(Tabla6[Propietario],MATCH(B113,Tabla6[Alias],0))," ")</f>
        <v>CGE S.A.</v>
      </c>
      <c r="T113" t="s">
        <v>44</v>
      </c>
      <c r="U113"/>
      <c r="V113" s="135" t="s">
        <v>1261</v>
      </c>
      <c r="W113" s="137" t="s">
        <v>155</v>
      </c>
      <c r="X113" s="137" t="s">
        <v>109</v>
      </c>
      <c r="Y113" s="135"/>
      <c r="Z113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3_PROC_OA_19_G05</v>
      </c>
      <c r="AA113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13" s="139" t="s">
        <v>226</v>
      </c>
      <c r="AC113" s="135"/>
      <c r="AD113" s="135"/>
      <c r="AE113" s="135" t="s">
        <v>1306</v>
      </c>
      <c r="AF113" s="141" t="str">
        <f>IFERROR(INDEX(Tabla10[ID],MATCH(BASE_GRAL[[#This Row],[EMPRESA ADJUDICADA]],Tabla10[Alias],0)),"")</f>
        <v>PROP_46</v>
      </c>
      <c r="AG113" s="141">
        <v>43812</v>
      </c>
      <c r="AH113" s="138">
        <v>3271647</v>
      </c>
      <c r="AI113" s="138"/>
      <c r="AJ113" s="138"/>
      <c r="AK113" s="138">
        <f>+BASE_GRAL[[#This Row],[COMA ADJUDICADO]]+BASE_GRAL[[#This Row],[AVI ADJUDICADO]]</f>
        <v>0</v>
      </c>
      <c r="AL113" s="135" t="s">
        <v>1223</v>
      </c>
      <c r="AM113" s="13" t="s">
        <v>607</v>
      </c>
      <c r="AN113" s="94">
        <v>44168</v>
      </c>
    </row>
    <row r="114" spans="1:40" s="118" customFormat="1" x14ac:dyDescent="0.25">
      <c r="A114">
        <v>139</v>
      </c>
      <c r="B114" t="s">
        <v>1504</v>
      </c>
      <c r="C114">
        <f>IFERROR(INDEX(Tabla6[AÑO],MATCH(B114,Tabla6[Alias],0)),"")</f>
        <v>2018</v>
      </c>
      <c r="D114">
        <f>IFERROR(INDEX(Tabla6[DECRETO],MATCH(B114,Tabla6[Alias],0)),"")</f>
        <v>293</v>
      </c>
      <c r="E114" s="6">
        <f>IFERROR(INDEX(Tabla6[Fecha de Promulgación],MATCH(B114,Tabla6[Alias],0)),"")</f>
        <v>43433</v>
      </c>
      <c r="F114">
        <f>IFERROR(INDEX(Tabla6[Tabla],MATCH(B114,Tabla6[Alias],0)),"")</f>
        <v>8</v>
      </c>
      <c r="G114" s="5" t="str">
        <f>IFERROR(INDEX(Tabla6[Sistema],MATCH(B114,Tabla6[Alias],0)),"")</f>
        <v>E</v>
      </c>
      <c r="H114" s="5" t="str">
        <f>IFERROR(INDEX(Tabla6[ID_OBRA],MATCH(B114,Tabla6[Alias],0)),"")</f>
        <v>18_293_Z_OA_19</v>
      </c>
      <c r="I114" t="str">
        <f>IFERROR(INDEX(Tabla6[Nombre Obra],MATCH(B114,Tabla6[Alias],0)),"")</f>
        <v>Aumento de Capacidad en S/E Piduco</v>
      </c>
      <c r="J114" t="str">
        <f>IFERROR(INDEX(Tabla6[Segmento],MATCH(B114,Tabla6[Alias],0)),"")</f>
        <v>ZONAL</v>
      </c>
      <c r="K114">
        <f>IFERROR(INDEX(Tabla6[Region],MATCH(B114,Tabla6[Alias],0)),"")</f>
        <v>0</v>
      </c>
      <c r="L114" s="13" t="str">
        <f>IFERROR(INDEX(Tabla6[Tipo de Obra],MATCH(B114,Tabla6[Alias],0))," ")</f>
        <v>OA</v>
      </c>
      <c r="M114" s="13" t="str">
        <f>IFERROR(INDEX(Tabla6[Tipo de Obras],MATCH(B114,Tabla6[Alias],0))," ")</f>
        <v>S/E</v>
      </c>
      <c r="N114" s="13">
        <f>IFERROR(INDEX(Tabla6[Plazo constructivo],MATCH(B114,Tabla6[Alias],0))," ")</f>
        <v>18</v>
      </c>
      <c r="O114" s="14">
        <f>IFERROR(INDEX(Tabla6[Fecha EO],MATCH(B114,Tabla6[Alias],0))," ")</f>
        <v>0</v>
      </c>
      <c r="P114" s="95">
        <f>IFERROR(INDEX(Tabla6[AVI REF],MATCH(B114,Tabla6[Alias],0))," ")</f>
        <v>1653966</v>
      </c>
      <c r="Q114" s="95">
        <f>IFERROR(INDEX(Tabla6[COMA REF],MATCH(B114,Tabla6[Alias],0))," ")</f>
        <v>26463.456000000002</v>
      </c>
      <c r="R114" s="95">
        <f>IFERROR(INDEX(Tabla6[VATT REF '[AVI + COMA']],MATCH(B114,Tabla6[Alias],0))," ")</f>
        <v>1680429.456</v>
      </c>
      <c r="S114" t="str">
        <f>IFERROR(INDEX(Tabla6[Propietario],MATCH(B114,Tabla6[Alias],0))," ")</f>
        <v>CGE S.A.</v>
      </c>
      <c r="T114" t="s">
        <v>44</v>
      </c>
      <c r="U114"/>
      <c r="V114" s="135" t="s">
        <v>1261</v>
      </c>
      <c r="W114" s="137" t="s">
        <v>155</v>
      </c>
      <c r="X114" s="137" t="s">
        <v>108</v>
      </c>
      <c r="Y114" s="135"/>
      <c r="Z114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3_PROC_OA_19_G06</v>
      </c>
      <c r="AA114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14" s="139" t="s">
        <v>227</v>
      </c>
      <c r="AC114" s="135"/>
      <c r="AD114" s="135"/>
      <c r="AE114" s="140" t="s">
        <v>317</v>
      </c>
      <c r="AF114" s="141" t="str">
        <f>IFERROR(INDEX(Tabla10[ID],MATCH(BASE_GRAL[[#This Row],[EMPRESA ADJUDICADA]],Tabla10[Alias],0)),"")</f>
        <v/>
      </c>
      <c r="AG114" s="137" t="s">
        <v>317</v>
      </c>
      <c r="AH114" s="138" t="s">
        <v>317</v>
      </c>
      <c r="AI114" s="138"/>
      <c r="AJ114" s="138"/>
      <c r="AK114" s="138">
        <f>+BASE_GRAL[[#This Row],[COMA ADJUDICADO]]+BASE_GRAL[[#This Row],[AVI ADJUDICADO]]</f>
        <v>0</v>
      </c>
      <c r="AL114" s="135" t="s">
        <v>1226</v>
      </c>
      <c r="AM114" s="13" t="s">
        <v>317</v>
      </c>
      <c r="AN114" s="94" t="s">
        <v>317</v>
      </c>
    </row>
    <row r="115" spans="1:40" s="118" customFormat="1" x14ac:dyDescent="0.25">
      <c r="A115">
        <v>140</v>
      </c>
      <c r="B115" t="s">
        <v>1505</v>
      </c>
      <c r="C115">
        <f>IFERROR(INDEX(Tabla6[AÑO],MATCH(B115,Tabla6[Alias],0)),"")</f>
        <v>2018</v>
      </c>
      <c r="D115">
        <f>IFERROR(INDEX(Tabla6[DECRETO],MATCH(B115,Tabla6[Alias],0)),"")</f>
        <v>293</v>
      </c>
      <c r="E115" s="6">
        <f>IFERROR(INDEX(Tabla6[Fecha de Promulgación],MATCH(B115,Tabla6[Alias],0)),"")</f>
        <v>43433</v>
      </c>
      <c r="F115">
        <f>IFERROR(INDEX(Tabla6[Tabla],MATCH(B115,Tabla6[Alias],0)),"")</f>
        <v>8</v>
      </c>
      <c r="G115" s="5" t="str">
        <f>IFERROR(INDEX(Tabla6[Sistema],MATCH(B115,Tabla6[Alias],0)),"")</f>
        <v>E</v>
      </c>
      <c r="H115" s="5" t="str">
        <f>IFERROR(INDEX(Tabla6[ID_OBRA],MATCH(B115,Tabla6[Alias],0)),"")</f>
        <v>18_293_Z_OA_20</v>
      </c>
      <c r="I115" t="str">
        <f>IFERROR(INDEX(Tabla6[Nombre Obra],MATCH(B115,Tabla6[Alias],0)),"")</f>
        <v>Aumento de Capacidad en S/E El Monte</v>
      </c>
      <c r="J115" t="str">
        <f>IFERROR(INDEX(Tabla6[Segmento],MATCH(B115,Tabla6[Alias],0)),"")</f>
        <v>ZONAL</v>
      </c>
      <c r="K115">
        <f>IFERROR(INDEX(Tabla6[Region],MATCH(B115,Tabla6[Alias],0)),"")</f>
        <v>0</v>
      </c>
      <c r="L115" s="13" t="str">
        <f>IFERROR(INDEX(Tabla6[Tipo de Obra],MATCH(B115,Tabla6[Alias],0))," ")</f>
        <v>OA</v>
      </c>
      <c r="M115" s="13" t="str">
        <f>IFERROR(INDEX(Tabla6[Tipo de Obras],MATCH(B115,Tabla6[Alias],0))," ")</f>
        <v>S/E</v>
      </c>
      <c r="N115" s="13">
        <f>IFERROR(INDEX(Tabla6[Plazo constructivo],MATCH(B115,Tabla6[Alias],0))," ")</f>
        <v>18</v>
      </c>
      <c r="O115" s="14">
        <f>IFERROR(INDEX(Tabla6[Fecha EO],MATCH(B115,Tabla6[Alias],0))," ")</f>
        <v>0</v>
      </c>
      <c r="P115" s="95">
        <f>IFERROR(INDEX(Tabla6[AVI REF],MATCH(B115,Tabla6[Alias],0))," ")</f>
        <v>882500</v>
      </c>
      <c r="Q115" s="95">
        <f>IFERROR(INDEX(Tabla6[COMA REF],MATCH(B115,Tabla6[Alias],0))," ")</f>
        <v>14120</v>
      </c>
      <c r="R115" s="95">
        <f>IFERROR(INDEX(Tabla6[VATT REF '[AVI + COMA']],MATCH(B115,Tabla6[Alias],0))," ")</f>
        <v>896620</v>
      </c>
      <c r="S115" t="str">
        <f>IFERROR(INDEX(Tabla6[Propietario],MATCH(B115,Tabla6[Alias],0))," ")</f>
        <v>CGE S.A.</v>
      </c>
      <c r="T115" t="s">
        <v>44</v>
      </c>
      <c r="U115"/>
      <c r="V115" s="135" t="s">
        <v>1261</v>
      </c>
      <c r="W115" s="137" t="s">
        <v>155</v>
      </c>
      <c r="X115" s="137" t="s">
        <v>115</v>
      </c>
      <c r="Y115" s="135"/>
      <c r="Z115" s="137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3_PROC_OA_19_G12</v>
      </c>
      <c r="AA115" s="154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15" s="139" t="s">
        <v>228</v>
      </c>
      <c r="AC115" s="135"/>
      <c r="AD115" s="135"/>
      <c r="AE115" s="140" t="s">
        <v>317</v>
      </c>
      <c r="AF115" s="141" t="str">
        <f>IFERROR(INDEX(Tabla10[ID],MATCH(BASE_GRAL[[#This Row],[EMPRESA ADJUDICADA]],Tabla10[Alias],0)),"")</f>
        <v/>
      </c>
      <c r="AG115" s="137" t="s">
        <v>317</v>
      </c>
      <c r="AH115" s="138" t="s">
        <v>317</v>
      </c>
      <c r="AI115" s="138"/>
      <c r="AJ115" s="138"/>
      <c r="AK115" s="138">
        <f>+BASE_GRAL[[#This Row],[COMA ADJUDICADO]]+BASE_GRAL[[#This Row],[AVI ADJUDICADO]]</f>
        <v>0</v>
      </c>
      <c r="AL115" s="135" t="s">
        <v>1226</v>
      </c>
      <c r="AM115" s="13" t="s">
        <v>317</v>
      </c>
      <c r="AN115" s="94" t="s">
        <v>317</v>
      </c>
    </row>
    <row r="116" spans="1:40" s="118" customFormat="1" x14ac:dyDescent="0.25">
      <c r="A116">
        <v>141</v>
      </c>
      <c r="B116" t="s">
        <v>1506</v>
      </c>
      <c r="C116">
        <f>IFERROR(INDEX(Tabla6[AÑO],MATCH(B116,Tabla6[Alias],0)),"")</f>
        <v>2018</v>
      </c>
      <c r="D116">
        <f>IFERROR(INDEX(Tabla6[DECRETO],MATCH(B116,Tabla6[Alias],0)),"")</f>
        <v>293</v>
      </c>
      <c r="E116" s="6">
        <f>IFERROR(INDEX(Tabla6[Fecha de Promulgación],MATCH(B116,Tabla6[Alias],0)),"")</f>
        <v>43433</v>
      </c>
      <c r="F116">
        <f>IFERROR(INDEX(Tabla6[Tabla],MATCH(B116,Tabla6[Alias],0)),"")</f>
        <v>8</v>
      </c>
      <c r="G116" s="5" t="str">
        <f>IFERROR(INDEX(Tabla6[Sistema],MATCH(B116,Tabla6[Alias],0)),"")</f>
        <v>E</v>
      </c>
      <c r="H116" s="5" t="str">
        <f>IFERROR(INDEX(Tabla6[ID_OBRA],MATCH(B116,Tabla6[Alias],0)),"")</f>
        <v>18_293_Z_OAC_21</v>
      </c>
      <c r="I116" t="str">
        <f>IFERROR(INDEX(Tabla6[Nombre Obra],MATCH(B116,Tabla6[Alias],0)),"")</f>
        <v>Ampliación Línea 2x220 kV Punta de Cortés - Tuniche: Incorporación de paños de línea</v>
      </c>
      <c r="J116" t="str">
        <f>IFERROR(INDEX(Tabla6[Segmento],MATCH(B116,Tabla6[Alias],0)),"")</f>
        <v>ZONAL</v>
      </c>
      <c r="K116">
        <f>IFERROR(INDEX(Tabla6[Region],MATCH(B116,Tabla6[Alias],0)),"")</f>
        <v>0</v>
      </c>
      <c r="L116" s="13" t="str">
        <f>IFERROR(INDEX(Tabla6[Tipo de Obra],MATCH(B116,Tabla6[Alias],0))," ")</f>
        <v>OAC</v>
      </c>
      <c r="M116" s="13" t="str">
        <f>IFERROR(INDEX(Tabla6[Tipo de Obras],MATCH(B116,Tabla6[Alias],0))," ")</f>
        <v>S/E + LT</v>
      </c>
      <c r="N116" s="13">
        <f>IFERROR(INDEX(Tabla6[Plazo constructivo],MATCH(B116,Tabla6[Alias],0))," ")</f>
        <v>36</v>
      </c>
      <c r="O116" s="14">
        <f>IFERROR(INDEX(Tabla6[Fecha EO],MATCH(B116,Tabla6[Alias],0))," ")</f>
        <v>0</v>
      </c>
      <c r="P116" s="95">
        <f>IFERROR(INDEX(Tabla6[AVI REF],MATCH(B116,Tabla6[Alias],0))," ")</f>
        <v>6722466</v>
      </c>
      <c r="Q116" s="95">
        <f>IFERROR(INDEX(Tabla6[COMA REF],MATCH(B116,Tabla6[Alias],0))," ")</f>
        <v>107559.45600000001</v>
      </c>
      <c r="R116" s="95">
        <f>IFERROR(INDEX(Tabla6[VATT REF '[AVI + COMA']],MATCH(B116,Tabla6[Alias],0))," ")</f>
        <v>6830025.4560000002</v>
      </c>
      <c r="S116" t="str">
        <f>IFERROR(INDEX(Tabla6[Propietario],MATCH(B116,Tabla6[Alias],0))," ")</f>
        <v>Transelec S.A.</v>
      </c>
      <c r="T116" t="s">
        <v>44</v>
      </c>
      <c r="U116"/>
      <c r="V116" s="117" t="s">
        <v>1301</v>
      </c>
      <c r="W116" s="13" t="s">
        <v>155</v>
      </c>
      <c r="X116" s="106" t="s">
        <v>107</v>
      </c>
      <c r="Y116" s="117" t="s">
        <v>124</v>
      </c>
      <c r="Z116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3_PROC_ON_19_G04</v>
      </c>
      <c r="AA11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3_PROC_ON_19_G04_SG04</v>
      </c>
      <c r="AB116" s="25" t="s">
        <v>229</v>
      </c>
      <c r="AC116"/>
      <c r="AD116"/>
      <c r="AE116" s="132" t="s">
        <v>197</v>
      </c>
      <c r="AF116" s="94" t="str">
        <f>IFERROR(INDEX(Tabla10[ID],MATCH(BASE_GRAL[[#This Row],[EMPRESA ADJUDICADA]],Tabla10[Alias],0)),"")</f>
        <v>PROP_24</v>
      </c>
      <c r="AG116" s="105">
        <v>43894</v>
      </c>
      <c r="AH116" s="95">
        <v>8022062</v>
      </c>
      <c r="AI116" s="95"/>
      <c r="AJ116" s="95"/>
      <c r="AK116" s="95">
        <f>+BASE_GRAL[[#This Row],[COMA ADJUDICADO]]+BASE_GRAL[[#This Row],[AVI ADJUDICADO]]</f>
        <v>0</v>
      </c>
      <c r="AL116" t="s">
        <v>1223</v>
      </c>
      <c r="AM116" s="13" t="s">
        <v>1308</v>
      </c>
      <c r="AN116" s="94">
        <v>44090</v>
      </c>
    </row>
    <row r="117" spans="1:40" s="118" customFormat="1" x14ac:dyDescent="0.25">
      <c r="A117">
        <v>142</v>
      </c>
      <c r="B117" t="s">
        <v>1507</v>
      </c>
      <c r="C117">
        <f>IFERROR(INDEX(Tabla6[AÑO],MATCH(B117,Tabla6[Alias],0)),"")</f>
        <v>2018</v>
      </c>
      <c r="D117">
        <f>IFERROR(INDEX(Tabla6[DECRETO],MATCH(B117,Tabla6[Alias],0)),"")</f>
        <v>293</v>
      </c>
      <c r="E117" s="6">
        <f>IFERROR(INDEX(Tabla6[Fecha de Promulgación],MATCH(B117,Tabla6[Alias],0)),"")</f>
        <v>43433</v>
      </c>
      <c r="F117">
        <f>IFERROR(INDEX(Tabla6[Tabla],MATCH(B117,Tabla6[Alias],0)),"")</f>
        <v>8</v>
      </c>
      <c r="G117" s="5" t="str">
        <f>IFERROR(INDEX(Tabla6[Sistema],MATCH(B117,Tabla6[Alias],0)),"")</f>
        <v>E</v>
      </c>
      <c r="H117" s="5" t="str">
        <f>IFERROR(INDEX(Tabla6[ID_OBRA],MATCH(B117,Tabla6[Alias],0)),"")</f>
        <v>18_293_Z_OAC_22</v>
      </c>
      <c r="I117" t="str">
        <f>IFERROR(INDEX(Tabla6[Nombre Obra],MATCH(B117,Tabla6[Alias],0)),"")</f>
        <v>Nuevo Transformador en S/E Punta de Cortés</v>
      </c>
      <c r="J117" t="str">
        <f>IFERROR(INDEX(Tabla6[Segmento],MATCH(B117,Tabla6[Alias],0)),"")</f>
        <v>ZONAL</v>
      </c>
      <c r="K117">
        <f>IFERROR(INDEX(Tabla6[Region],MATCH(B117,Tabla6[Alias],0)),"")</f>
        <v>0</v>
      </c>
      <c r="L117" s="13" t="str">
        <f>IFERROR(INDEX(Tabla6[Tipo de Obra],MATCH(B117,Tabla6[Alias],0))," ")</f>
        <v>OAC</v>
      </c>
      <c r="M117" s="13" t="str">
        <f>IFERROR(INDEX(Tabla6[Tipo de Obras],MATCH(B117,Tabla6[Alias],0))," ")</f>
        <v>S/E</v>
      </c>
      <c r="N117" s="13">
        <f>IFERROR(INDEX(Tabla6[Plazo constructivo],MATCH(B117,Tabla6[Alias],0))," ")</f>
        <v>36</v>
      </c>
      <c r="O117" s="14">
        <f>IFERROR(INDEX(Tabla6[Fecha EO],MATCH(B117,Tabla6[Alias],0))," ")</f>
        <v>0</v>
      </c>
      <c r="P117" s="95">
        <f>IFERROR(INDEX(Tabla6[AVI REF],MATCH(B117,Tabla6[Alias],0))," ")</f>
        <v>8056680</v>
      </c>
      <c r="Q117" s="95">
        <f>IFERROR(INDEX(Tabla6[COMA REF],MATCH(B117,Tabla6[Alias],0))," ")</f>
        <v>128906.88</v>
      </c>
      <c r="R117" s="95">
        <f>IFERROR(INDEX(Tabla6[VATT REF '[AVI + COMA']],MATCH(B117,Tabla6[Alias],0))," ")</f>
        <v>8185586.8799999999</v>
      </c>
      <c r="S117" t="str">
        <f>IFERROR(INDEX(Tabla6[Propietario],MATCH(B117,Tabla6[Alias],0))," ")</f>
        <v>CGE S.A.</v>
      </c>
      <c r="T117" t="s">
        <v>44</v>
      </c>
      <c r="U117"/>
      <c r="V117" s="117" t="s">
        <v>1301</v>
      </c>
      <c r="W117" s="13" t="s">
        <v>155</v>
      </c>
      <c r="X117" s="106" t="s">
        <v>107</v>
      </c>
      <c r="Y117" s="117" t="s">
        <v>124</v>
      </c>
      <c r="Z117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3_PROC_ON_19_G04</v>
      </c>
      <c r="AA11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3_PROC_ON_19_G04_SG04</v>
      </c>
      <c r="AB117" s="25" t="s">
        <v>230</v>
      </c>
      <c r="AC117"/>
      <c r="AD117"/>
      <c r="AE117" s="132" t="s">
        <v>197</v>
      </c>
      <c r="AF117" s="94" t="str">
        <f>IFERROR(INDEX(Tabla10[ID],MATCH(BASE_GRAL[[#This Row],[EMPRESA ADJUDICADA]],Tabla10[Alias],0)),"")</f>
        <v>PROP_24</v>
      </c>
      <c r="AG117" s="105">
        <v>43894</v>
      </c>
      <c r="AH117" s="95">
        <v>9621700</v>
      </c>
      <c r="AI117" s="95"/>
      <c r="AJ117" s="95"/>
      <c r="AK117" s="95">
        <f>+BASE_GRAL[[#This Row],[COMA ADJUDICADO]]+BASE_GRAL[[#This Row],[AVI ADJUDICADO]]</f>
        <v>0</v>
      </c>
      <c r="AL117" t="s">
        <v>1223</v>
      </c>
      <c r="AM117" s="13" t="s">
        <v>1308</v>
      </c>
      <c r="AN117" s="94">
        <v>44090</v>
      </c>
    </row>
    <row r="118" spans="1:40" s="118" customFormat="1" x14ac:dyDescent="0.25">
      <c r="A118">
        <v>143</v>
      </c>
      <c r="B118" t="s">
        <v>1508</v>
      </c>
      <c r="C118">
        <f>IFERROR(INDEX(Tabla6[AÑO],MATCH(B118,Tabla6[Alias],0)),"")</f>
        <v>2018</v>
      </c>
      <c r="D118">
        <f>IFERROR(INDEX(Tabla6[DECRETO],MATCH(B118,Tabla6[Alias],0)),"")</f>
        <v>293</v>
      </c>
      <c r="E118" s="6">
        <f>IFERROR(INDEX(Tabla6[Fecha de Promulgación],MATCH(B118,Tabla6[Alias],0)),"")</f>
        <v>43433</v>
      </c>
      <c r="F118">
        <f>IFERROR(INDEX(Tabla6[Tabla],MATCH(B118,Tabla6[Alias],0)),"")</f>
        <v>8</v>
      </c>
      <c r="G118" s="5" t="str">
        <f>IFERROR(INDEX(Tabla6[Sistema],MATCH(B118,Tabla6[Alias],0)),"")</f>
        <v>E</v>
      </c>
      <c r="H118" s="5" t="str">
        <f>IFERROR(INDEX(Tabla6[ID_OBRA],MATCH(B118,Tabla6[Alias],0)),"")</f>
        <v>18_293_Z_OAC_23</v>
      </c>
      <c r="I118" t="str">
        <f>IFERROR(INDEX(Tabla6[Nombre Obra],MATCH(B118,Tabla6[Alias],0)),"")</f>
        <v>Ampliación en S/E Punta de Cortés para interconexión de Línea 2x220 kV Punta de Cortés - Tuniche</v>
      </c>
      <c r="J118" t="str">
        <f>IFERROR(INDEX(Tabla6[Segmento],MATCH(B118,Tabla6[Alias],0)),"")</f>
        <v>ZONAL</v>
      </c>
      <c r="K118">
        <f>IFERROR(INDEX(Tabla6[Region],MATCH(B118,Tabla6[Alias],0)),"")</f>
        <v>0</v>
      </c>
      <c r="L118" s="13" t="str">
        <f>IFERROR(INDEX(Tabla6[Tipo de Obra],MATCH(B118,Tabla6[Alias],0))," ")</f>
        <v>OAC</v>
      </c>
      <c r="M118" s="13" t="str">
        <f>IFERROR(INDEX(Tabla6[Tipo de Obras],MATCH(B118,Tabla6[Alias],0))," ")</f>
        <v>S/E</v>
      </c>
      <c r="N118" s="13">
        <f>IFERROR(INDEX(Tabla6[Plazo constructivo],MATCH(B118,Tabla6[Alias],0))," ")</f>
        <v>36</v>
      </c>
      <c r="O118" s="14">
        <f>IFERROR(INDEX(Tabla6[Fecha EO],MATCH(B118,Tabla6[Alias],0))," ")</f>
        <v>0</v>
      </c>
      <c r="P118" s="95">
        <f>IFERROR(INDEX(Tabla6[AVI REF],MATCH(B118,Tabla6[Alias],0))," ")</f>
        <v>1970117</v>
      </c>
      <c r="Q118" s="95">
        <f>IFERROR(INDEX(Tabla6[COMA REF],MATCH(B118,Tabla6[Alias],0))," ")</f>
        <v>31521.871999999999</v>
      </c>
      <c r="R118" s="95">
        <f>IFERROR(INDEX(Tabla6[VATT REF '[AVI + COMA']],MATCH(B118,Tabla6[Alias],0))," ")</f>
        <v>2001638.872</v>
      </c>
      <c r="S118" t="str">
        <f>IFERROR(INDEX(Tabla6[Propietario],MATCH(B118,Tabla6[Alias],0))," ")</f>
        <v>CGE S.A.</v>
      </c>
      <c r="T118" t="s">
        <v>44</v>
      </c>
      <c r="U118"/>
      <c r="V118" s="117" t="s">
        <v>1301</v>
      </c>
      <c r="W118" s="13" t="s">
        <v>155</v>
      </c>
      <c r="X118" s="106" t="s">
        <v>107</v>
      </c>
      <c r="Y118" s="117" t="s">
        <v>124</v>
      </c>
      <c r="Z118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3_PROC_ON_19_G04</v>
      </c>
      <c r="AA118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3_PROC_ON_19_G04_SG04</v>
      </c>
      <c r="AB118" s="25" t="s">
        <v>231</v>
      </c>
      <c r="AC118"/>
      <c r="AD118"/>
      <c r="AE118" s="132" t="s">
        <v>197</v>
      </c>
      <c r="AF118" s="94" t="str">
        <f>IFERROR(INDEX(Tabla10[ID],MATCH(BASE_GRAL[[#This Row],[EMPRESA ADJUDICADA]],Tabla10[Alias],0)),"")</f>
        <v>PROP_24</v>
      </c>
      <c r="AG118" s="105">
        <v>43894</v>
      </c>
      <c r="AH118" s="95">
        <v>2351706</v>
      </c>
      <c r="AI118" s="95"/>
      <c r="AJ118" s="95"/>
      <c r="AK118" s="95">
        <f>+BASE_GRAL[[#This Row],[COMA ADJUDICADO]]+BASE_GRAL[[#This Row],[AVI ADJUDICADO]]</f>
        <v>0</v>
      </c>
      <c r="AL118" t="s">
        <v>1223</v>
      </c>
      <c r="AM118" s="13" t="s">
        <v>1308</v>
      </c>
      <c r="AN118" s="94">
        <v>44090</v>
      </c>
    </row>
    <row r="119" spans="1:40" x14ac:dyDescent="0.25">
      <c r="A119">
        <v>144</v>
      </c>
      <c r="B119" t="s">
        <v>1509</v>
      </c>
      <c r="C119">
        <f>IFERROR(INDEX(Tabla6[AÑO],MATCH(B119,Tabla6[Alias],0)),"")</f>
        <v>2018</v>
      </c>
      <c r="D119">
        <f>IFERROR(INDEX(Tabla6[DECRETO],MATCH(B119,Tabla6[Alias],0)),"")</f>
        <v>293</v>
      </c>
      <c r="E119" s="6">
        <f>IFERROR(INDEX(Tabla6[Fecha de Promulgación],MATCH(B119,Tabla6[Alias],0)),"")</f>
        <v>43433</v>
      </c>
      <c r="F119">
        <f>IFERROR(INDEX(Tabla6[Tabla],MATCH(B119,Tabla6[Alias],0)),"")</f>
        <v>8</v>
      </c>
      <c r="G119" s="5" t="str">
        <f>IFERROR(INDEX(Tabla6[Sistema],MATCH(B119,Tabla6[Alias],0)),"")</f>
        <v>E</v>
      </c>
      <c r="H119" s="5" t="str">
        <f>IFERROR(INDEX(Tabla6[ID_OBRA],MATCH(B119,Tabla6[Alias],0)),"")</f>
        <v>18_293_Z_OA_24</v>
      </c>
      <c r="I119" t="str">
        <f>IFERROR(INDEX(Tabla6[Nombre Obra],MATCH(B119,Tabla6[Alias],0)),"")</f>
        <v>Aumento de Capacidad de línea 1x66 kV Rosario - San Fernando, Segmento Tap Rengo - Pelequén</v>
      </c>
      <c r="J119" t="str">
        <f>IFERROR(INDEX(Tabla6[Segmento],MATCH(B119,Tabla6[Alias],0)),"")</f>
        <v>ZONAL</v>
      </c>
      <c r="K119">
        <f>IFERROR(INDEX(Tabla6[Region],MATCH(B119,Tabla6[Alias],0)),"")</f>
        <v>0</v>
      </c>
      <c r="L119" s="13" t="str">
        <f>IFERROR(INDEX(Tabla6[Tipo de Obra],MATCH(B119,Tabla6[Alias],0))," ")</f>
        <v>OA</v>
      </c>
      <c r="M119" s="13" t="str">
        <f>IFERROR(INDEX(Tabla6[Tipo de Obras],MATCH(B119,Tabla6[Alias],0))," ")</f>
        <v>LT</v>
      </c>
      <c r="N119" s="13">
        <f>IFERROR(INDEX(Tabla6[Plazo constructivo],MATCH(B119,Tabla6[Alias],0))," ")</f>
        <v>24</v>
      </c>
      <c r="O119" s="14">
        <f>IFERROR(INDEX(Tabla6[Fecha EO],MATCH(B119,Tabla6[Alias],0))," ")</f>
        <v>0</v>
      </c>
      <c r="P119" s="95">
        <f>IFERROR(INDEX(Tabla6[AVI REF],MATCH(B119,Tabla6[Alias],0))," ")</f>
        <v>501160.00000000006</v>
      </c>
      <c r="Q119" s="95">
        <f>IFERROR(INDEX(Tabla6[COMA REF],MATCH(B119,Tabla6[Alias],0))," ")</f>
        <v>8018.5600000000013</v>
      </c>
      <c r="R119" s="95">
        <f>IFERROR(INDEX(Tabla6[VATT REF '[AVI + COMA']],MATCH(B119,Tabla6[Alias],0))," ")</f>
        <v>509178.56000000006</v>
      </c>
      <c r="S119" t="str">
        <f>IFERROR(INDEX(Tabla6[Propietario],MATCH(B119,Tabla6[Alias],0))," ")</f>
        <v>CGE S.A.</v>
      </c>
      <c r="V119" s="117" t="s">
        <v>1261</v>
      </c>
      <c r="W119" s="13" t="s">
        <v>155</v>
      </c>
      <c r="X119" s="106" t="s">
        <v>109</v>
      </c>
      <c r="Y119" s="117" t="s">
        <v>119</v>
      </c>
      <c r="Z119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3_PROC_OA_19_G05</v>
      </c>
      <c r="AA119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3_PROC_OA_19_G05_SG02</v>
      </c>
      <c r="AB119" s="25" t="s">
        <v>232</v>
      </c>
      <c r="AC119"/>
      <c r="AD119"/>
      <c r="AE119" s="132" t="s">
        <v>317</v>
      </c>
      <c r="AF119" s="94" t="str">
        <f>IFERROR(INDEX(Tabla10[ID],MATCH(BASE_GRAL[[#This Row],[EMPRESA ADJUDICADA]],Tabla10[Alias],0)),"")</f>
        <v/>
      </c>
      <c r="AG119" s="13" t="s">
        <v>317</v>
      </c>
      <c r="AH119" s="95" t="s">
        <v>317</v>
      </c>
      <c r="AI119" s="95"/>
      <c r="AJ119" s="95"/>
      <c r="AK119" s="95">
        <f>+BASE_GRAL[[#This Row],[COMA ADJUDICADO]]+BASE_GRAL[[#This Row],[AVI ADJUDICADO]]</f>
        <v>0</v>
      </c>
      <c r="AL119" s="97" t="s">
        <v>1226</v>
      </c>
      <c r="AM119" s="13" t="s">
        <v>317</v>
      </c>
      <c r="AN119" s="94" t="s">
        <v>317</v>
      </c>
    </row>
    <row r="120" spans="1:40" x14ac:dyDescent="0.25">
      <c r="A120">
        <v>145</v>
      </c>
      <c r="B120" t="s">
        <v>1510</v>
      </c>
      <c r="C120">
        <f>IFERROR(INDEX(Tabla6[AÑO],MATCH(B120,Tabla6[Alias],0)),"")</f>
        <v>2018</v>
      </c>
      <c r="D120">
        <f>IFERROR(INDEX(Tabla6[DECRETO],MATCH(B120,Tabla6[Alias],0)),"")</f>
        <v>293</v>
      </c>
      <c r="E120" s="6">
        <f>IFERROR(INDEX(Tabla6[Fecha de Promulgación],MATCH(B120,Tabla6[Alias],0)),"")</f>
        <v>43433</v>
      </c>
      <c r="F120">
        <f>IFERROR(INDEX(Tabla6[Tabla],MATCH(B120,Tabla6[Alias],0)),"")</f>
        <v>8</v>
      </c>
      <c r="G120" s="5" t="str">
        <f>IFERROR(INDEX(Tabla6[Sistema],MATCH(B120,Tabla6[Alias],0)),"")</f>
        <v>E</v>
      </c>
      <c r="H120" s="5" t="str">
        <f>IFERROR(INDEX(Tabla6[ID_OBRA],MATCH(B120,Tabla6[Alias],0)),"")</f>
        <v>18_293_Z_OA_25</v>
      </c>
      <c r="I120" t="str">
        <f>IFERROR(INDEX(Tabla6[Nombre Obra],MATCH(B120,Tabla6[Alias],0)),"")</f>
        <v>Aumento de Capacidad de Línea 1x66 kV Pelequén - Malloa</v>
      </c>
      <c r="J120" t="str">
        <f>IFERROR(INDEX(Tabla6[Segmento],MATCH(B120,Tabla6[Alias],0)),"")</f>
        <v>ZONAL</v>
      </c>
      <c r="K120">
        <f>IFERROR(INDEX(Tabla6[Region],MATCH(B120,Tabla6[Alias],0)),"")</f>
        <v>0</v>
      </c>
      <c r="L120" s="13" t="str">
        <f>IFERROR(INDEX(Tabla6[Tipo de Obra],MATCH(B120,Tabla6[Alias],0))," ")</f>
        <v>OA</v>
      </c>
      <c r="M120" s="13" t="str">
        <f>IFERROR(INDEX(Tabla6[Tipo de Obras],MATCH(B120,Tabla6[Alias],0))," ")</f>
        <v>LT</v>
      </c>
      <c r="N120" s="13">
        <f>IFERROR(INDEX(Tabla6[Plazo constructivo],MATCH(B120,Tabla6[Alias],0))," ")</f>
        <v>24</v>
      </c>
      <c r="O120" s="14">
        <f>IFERROR(INDEX(Tabla6[Fecha EO],MATCH(B120,Tabla6[Alias],0))," ")</f>
        <v>0</v>
      </c>
      <c r="P120" s="95">
        <f>IFERROR(INDEX(Tabla6[AVI REF],MATCH(B120,Tabla6[Alias],0))," ")</f>
        <v>485045</v>
      </c>
      <c r="Q120" s="95">
        <f>IFERROR(INDEX(Tabla6[COMA REF],MATCH(B120,Tabla6[Alias],0))," ")</f>
        <v>7760.72</v>
      </c>
      <c r="R120" s="95">
        <f>IFERROR(INDEX(Tabla6[VATT REF '[AVI + COMA']],MATCH(B120,Tabla6[Alias],0))," ")</f>
        <v>492805.72</v>
      </c>
      <c r="S120" t="str">
        <f>IFERROR(INDEX(Tabla6[Propietario],MATCH(B120,Tabla6[Alias],0))," ")</f>
        <v>CGE S.A.</v>
      </c>
      <c r="V120" s="117" t="s">
        <v>1261</v>
      </c>
      <c r="W120" s="13" t="s">
        <v>155</v>
      </c>
      <c r="X120" s="106" t="s">
        <v>109</v>
      </c>
      <c r="Y120" s="117" t="s">
        <v>119</v>
      </c>
      <c r="Z120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3_PROC_OA_19_G05</v>
      </c>
      <c r="AA120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3_PROC_OA_19_G05_SG02</v>
      </c>
      <c r="AB120" s="25" t="s">
        <v>233</v>
      </c>
      <c r="AC120"/>
      <c r="AD120"/>
      <c r="AE120" s="132" t="s">
        <v>317</v>
      </c>
      <c r="AF120" s="94" t="str">
        <f>IFERROR(INDEX(Tabla10[ID],MATCH(BASE_GRAL[[#This Row],[EMPRESA ADJUDICADA]],Tabla10[Alias],0)),"")</f>
        <v/>
      </c>
      <c r="AG120" s="13" t="s">
        <v>317</v>
      </c>
      <c r="AH120" s="95" t="s">
        <v>317</v>
      </c>
      <c r="AI120" s="95"/>
      <c r="AJ120" s="95"/>
      <c r="AK120" s="95">
        <f>+BASE_GRAL[[#This Row],[COMA ADJUDICADO]]+BASE_GRAL[[#This Row],[AVI ADJUDICADO]]</f>
        <v>0</v>
      </c>
      <c r="AL120" s="97" t="s">
        <v>1226</v>
      </c>
      <c r="AM120" s="13" t="s">
        <v>317</v>
      </c>
      <c r="AN120" s="94" t="s">
        <v>317</v>
      </c>
    </row>
    <row r="121" spans="1:40" x14ac:dyDescent="0.25">
      <c r="A121">
        <v>146</v>
      </c>
      <c r="B121" t="s">
        <v>1511</v>
      </c>
      <c r="C121">
        <f>IFERROR(INDEX(Tabla6[AÑO],MATCH(B121,Tabla6[Alias],0)),"")</f>
        <v>2018</v>
      </c>
      <c r="D121">
        <f>IFERROR(INDEX(Tabla6[DECRETO],MATCH(B121,Tabla6[Alias],0)),"")</f>
        <v>293</v>
      </c>
      <c r="E121" s="6">
        <f>IFERROR(INDEX(Tabla6[Fecha de Promulgación],MATCH(B121,Tabla6[Alias],0)),"")</f>
        <v>43433</v>
      </c>
      <c r="F121">
        <f>IFERROR(INDEX(Tabla6[Tabla],MATCH(B121,Tabla6[Alias],0)),"")</f>
        <v>8</v>
      </c>
      <c r="G121" s="5" t="str">
        <f>IFERROR(INDEX(Tabla6[Sistema],MATCH(B121,Tabla6[Alias],0)),"")</f>
        <v>E</v>
      </c>
      <c r="H121" s="5" t="str">
        <f>IFERROR(INDEX(Tabla6[ID_OBRA],MATCH(B121,Tabla6[Alias],0)),"")</f>
        <v>18_293_Z_OA_26</v>
      </c>
      <c r="I121" t="str">
        <f>IFERROR(INDEX(Tabla6[Nombre Obra],MATCH(B121,Tabla6[Alias],0)),"")</f>
        <v>Nueva S/E Móvil Región del Maule</v>
      </c>
      <c r="J121" t="str">
        <f>IFERROR(INDEX(Tabla6[Segmento],MATCH(B121,Tabla6[Alias],0)),"")</f>
        <v>ZONAL</v>
      </c>
      <c r="K121">
        <f>IFERROR(INDEX(Tabla6[Region],MATCH(B121,Tabla6[Alias],0)),"")</f>
        <v>0</v>
      </c>
      <c r="L121" s="13" t="str">
        <f>IFERROR(INDEX(Tabla6[Tipo de Obra],MATCH(B121,Tabla6[Alias],0))," ")</f>
        <v>OA</v>
      </c>
      <c r="M121" s="13" t="str">
        <f>IFERROR(INDEX(Tabla6[Tipo de Obras],MATCH(B121,Tabla6[Alias],0))," ")</f>
        <v>S/E</v>
      </c>
      <c r="N121" s="13">
        <f>IFERROR(INDEX(Tabla6[Plazo constructivo],MATCH(B121,Tabla6[Alias],0))," ")</f>
        <v>20</v>
      </c>
      <c r="O121" s="14">
        <f>IFERROR(INDEX(Tabla6[Fecha EO],MATCH(B121,Tabla6[Alias],0))," ")</f>
        <v>0</v>
      </c>
      <c r="P121" s="95">
        <f>IFERROR(INDEX(Tabla6[AVI REF],MATCH(B121,Tabla6[Alias],0))," ")</f>
        <v>3620332</v>
      </c>
      <c r="Q121" s="95">
        <f>IFERROR(INDEX(Tabla6[COMA REF],MATCH(B121,Tabla6[Alias],0))," ")</f>
        <v>57925.311999999998</v>
      </c>
      <c r="R121" s="95">
        <f>IFERROR(INDEX(Tabla6[VATT REF '[AVI + COMA']],MATCH(B121,Tabla6[Alias],0))," ")</f>
        <v>3678257.3119999999</v>
      </c>
      <c r="S121" t="str">
        <f>IFERROR(INDEX(Tabla6[Propietario],MATCH(B121,Tabla6[Alias],0))," ")</f>
        <v>CGE S.A.</v>
      </c>
      <c r="V121" s="117" t="s">
        <v>1261</v>
      </c>
      <c r="W121" s="13" t="s">
        <v>155</v>
      </c>
      <c r="X121" s="106" t="s">
        <v>114</v>
      </c>
      <c r="Y121" s="117"/>
      <c r="Z121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3_PROC_OA_19_G11</v>
      </c>
      <c r="AA121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21" s="25" t="s">
        <v>234</v>
      </c>
      <c r="AC121"/>
      <c r="AD121"/>
      <c r="AE121" s="123" t="s">
        <v>1237</v>
      </c>
      <c r="AF121" s="94" t="str">
        <f>IFERROR(INDEX(Tabla10[ID],MATCH(BASE_GRAL[[#This Row],[EMPRESA ADJUDICADA]],Tabla10[Alias],0)),"")</f>
        <v>PROP_25</v>
      </c>
      <c r="AG121" s="94">
        <v>43812</v>
      </c>
      <c r="AH121" s="95">
        <v>1949808.25</v>
      </c>
      <c r="AI121" s="95"/>
      <c r="AJ121" s="95"/>
      <c r="AK121" s="95">
        <f>+BASE_GRAL[[#This Row],[COMA ADJUDICADO]]+BASE_GRAL[[#This Row],[AVI ADJUDICADO]]</f>
        <v>0</v>
      </c>
      <c r="AL121" t="s">
        <v>1223</v>
      </c>
      <c r="AM121" s="13" t="s">
        <v>607</v>
      </c>
      <c r="AN121" s="94">
        <v>44168</v>
      </c>
    </row>
    <row r="122" spans="1:40" x14ac:dyDescent="0.25">
      <c r="A122">
        <v>147</v>
      </c>
      <c r="B122" t="s">
        <v>1512</v>
      </c>
      <c r="C122">
        <f>IFERROR(INDEX(Tabla6[AÑO],MATCH(B122,Tabla6[Alias],0)),"")</f>
        <v>2018</v>
      </c>
      <c r="D122">
        <f>IFERROR(INDEX(Tabla6[DECRETO],MATCH(B122,Tabla6[Alias],0)),"")</f>
        <v>293</v>
      </c>
      <c r="E122" s="6">
        <f>IFERROR(INDEX(Tabla6[Fecha de Promulgación],MATCH(B122,Tabla6[Alias],0)),"")</f>
        <v>43433</v>
      </c>
      <c r="F122">
        <f>IFERROR(INDEX(Tabla6[Tabla],MATCH(B122,Tabla6[Alias],0)),"")</f>
        <v>8</v>
      </c>
      <c r="G122" s="5" t="str">
        <f>IFERROR(INDEX(Tabla6[Sistema],MATCH(B122,Tabla6[Alias],0)),"")</f>
        <v>E</v>
      </c>
      <c r="H122" s="5" t="str">
        <f>IFERROR(INDEX(Tabla6[ID_OBRA],MATCH(B122,Tabla6[Alias],0)),"")</f>
        <v>18_293_Z_OA_27</v>
      </c>
      <c r="I122" t="str">
        <f>IFERROR(INDEX(Tabla6[Nombre Obra],MATCH(B122,Tabla6[Alias],0)),"")</f>
        <v>Nueva S/E Móvil Región del Biobío y Región de la Araucanía</v>
      </c>
      <c r="J122" t="str">
        <f>IFERROR(INDEX(Tabla6[Segmento],MATCH(B122,Tabla6[Alias],0)),"")</f>
        <v>ZONAL</v>
      </c>
      <c r="K122">
        <f>IFERROR(INDEX(Tabla6[Region],MATCH(B122,Tabla6[Alias],0)),"")</f>
        <v>0</v>
      </c>
      <c r="L122" s="13" t="str">
        <f>IFERROR(INDEX(Tabla6[Tipo de Obra],MATCH(B122,Tabla6[Alias],0))," ")</f>
        <v>OA</v>
      </c>
      <c r="M122" s="13" t="str">
        <f>IFERROR(INDEX(Tabla6[Tipo de Obras],MATCH(B122,Tabla6[Alias],0))," ")</f>
        <v>S/E</v>
      </c>
      <c r="N122" s="13">
        <f>IFERROR(INDEX(Tabla6[Plazo constructivo],MATCH(B122,Tabla6[Alias],0))," ")</f>
        <v>20</v>
      </c>
      <c r="O122" s="14">
        <f>IFERROR(INDEX(Tabla6[Fecha EO],MATCH(B122,Tabla6[Alias],0))," ")</f>
        <v>0</v>
      </c>
      <c r="P122" s="95">
        <f>IFERROR(INDEX(Tabla6[AVI REF],MATCH(B122,Tabla6[Alias],0))," ")</f>
        <v>3620332</v>
      </c>
      <c r="Q122" s="95">
        <f>IFERROR(INDEX(Tabla6[COMA REF],MATCH(B122,Tabla6[Alias],0))," ")</f>
        <v>57925.311999999998</v>
      </c>
      <c r="R122" s="95">
        <f>IFERROR(INDEX(Tabla6[VATT REF '[AVI + COMA']],MATCH(B122,Tabla6[Alias],0))," ")</f>
        <v>3678257.3119999999</v>
      </c>
      <c r="S122" t="str">
        <f>IFERROR(INDEX(Tabla6[Propietario],MATCH(B122,Tabla6[Alias],0))," ")</f>
        <v>CGE S.A.</v>
      </c>
      <c r="V122" s="117" t="s">
        <v>1261</v>
      </c>
      <c r="W122" s="13" t="s">
        <v>155</v>
      </c>
      <c r="X122" s="106" t="s">
        <v>114</v>
      </c>
      <c r="Y122" s="117"/>
      <c r="Z122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3_PROC_OA_19_G11</v>
      </c>
      <c r="AA122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22" s="25" t="s">
        <v>235</v>
      </c>
      <c r="AC122"/>
      <c r="AD122"/>
      <c r="AE122" s="123" t="s">
        <v>1237</v>
      </c>
      <c r="AF122" s="94" t="str">
        <f>IFERROR(INDEX(Tabla10[ID],MATCH(BASE_GRAL[[#This Row],[EMPRESA ADJUDICADA]],Tabla10[Alias],0)),"")</f>
        <v>PROP_25</v>
      </c>
      <c r="AG122" s="94">
        <v>43812</v>
      </c>
      <c r="AH122" s="95">
        <v>1949808.25</v>
      </c>
      <c r="AI122" s="95"/>
      <c r="AJ122" s="95"/>
      <c r="AK122" s="95">
        <f>+BASE_GRAL[[#This Row],[COMA ADJUDICADO]]+BASE_GRAL[[#This Row],[AVI ADJUDICADO]]</f>
        <v>0</v>
      </c>
      <c r="AL122" t="s">
        <v>1223</v>
      </c>
      <c r="AM122" s="13" t="s">
        <v>607</v>
      </c>
      <c r="AN122" s="94">
        <v>44168</v>
      </c>
    </row>
    <row r="123" spans="1:40" x14ac:dyDescent="0.25">
      <c r="A123">
        <v>148</v>
      </c>
      <c r="B123" t="s">
        <v>1513</v>
      </c>
      <c r="C123">
        <f>IFERROR(INDEX(Tabla6[AÑO],MATCH(B123,Tabla6[Alias],0)),"")</f>
        <v>2018</v>
      </c>
      <c r="D123">
        <f>IFERROR(INDEX(Tabla6[DECRETO],MATCH(B123,Tabla6[Alias],0)),"")</f>
        <v>293</v>
      </c>
      <c r="E123" s="6">
        <f>IFERROR(INDEX(Tabla6[Fecha de Promulgación],MATCH(B123,Tabla6[Alias],0)),"")</f>
        <v>43433</v>
      </c>
      <c r="F123">
        <f>IFERROR(INDEX(Tabla6[Tabla],MATCH(B123,Tabla6[Alias],0)),"")</f>
        <v>8</v>
      </c>
      <c r="G123" s="5" t="str">
        <f>IFERROR(INDEX(Tabla6[Sistema],MATCH(B123,Tabla6[Alias],0)),"")</f>
        <v>E</v>
      </c>
      <c r="H123" s="5" t="str">
        <f>IFERROR(INDEX(Tabla6[ID_OBRA],MATCH(B123,Tabla6[Alias],0)),"")</f>
        <v>18_293_Z_OAC_28</v>
      </c>
      <c r="I123" t="str">
        <f>IFERROR(INDEX(Tabla6[Nombre Obra],MATCH(B123,Tabla6[Alias],0)),"")</f>
        <v>Ampliación en S/E El Manzano</v>
      </c>
      <c r="J123" t="str">
        <f>IFERROR(INDEX(Tabla6[Segmento],MATCH(B123,Tabla6[Alias],0)),"")</f>
        <v>ZONAL</v>
      </c>
      <c r="K123">
        <f>IFERROR(INDEX(Tabla6[Region],MATCH(B123,Tabla6[Alias],0)),"")</f>
        <v>0</v>
      </c>
      <c r="L123" s="13" t="str">
        <f>IFERROR(INDEX(Tabla6[Tipo de Obra],MATCH(B123,Tabla6[Alias],0))," ")</f>
        <v>OAC</v>
      </c>
      <c r="M123" s="13" t="str">
        <f>IFERROR(INDEX(Tabla6[Tipo de Obras],MATCH(B123,Tabla6[Alias],0))," ")</f>
        <v>S/E</v>
      </c>
      <c r="N123" s="13">
        <f>IFERROR(INDEX(Tabla6[Plazo constructivo],MATCH(B123,Tabla6[Alias],0))," ")</f>
        <v>24</v>
      </c>
      <c r="O123" s="14">
        <f>IFERROR(INDEX(Tabla6[Fecha EO],MATCH(B123,Tabla6[Alias],0))," ")</f>
        <v>0</v>
      </c>
      <c r="P123" s="95">
        <f>IFERROR(INDEX(Tabla6[AVI REF],MATCH(B123,Tabla6[Alias],0))," ")</f>
        <v>1920195</v>
      </c>
      <c r="Q123" s="95">
        <f>IFERROR(INDEX(Tabla6[COMA REF],MATCH(B123,Tabla6[Alias],0))," ")</f>
        <v>30723.119999999999</v>
      </c>
      <c r="R123" s="95">
        <f>IFERROR(INDEX(Tabla6[VATT REF '[AVI + COMA']],MATCH(B123,Tabla6[Alias],0))," ")</f>
        <v>1950918.12</v>
      </c>
      <c r="S123" t="str">
        <f>IFERROR(INDEX(Tabla6[Propietario],MATCH(B123,Tabla6[Alias],0))," ")</f>
        <v>CGE S.A.</v>
      </c>
      <c r="V123" s="117" t="s">
        <v>1301</v>
      </c>
      <c r="W123" s="13" t="s">
        <v>155</v>
      </c>
      <c r="X123" s="106" t="s">
        <v>109</v>
      </c>
      <c r="Y123" s="117" t="s">
        <v>1302</v>
      </c>
      <c r="Z123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3_PROC_ON_19_G05</v>
      </c>
      <c r="AA123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3_PROC_ON_19_G05_SG05</v>
      </c>
      <c r="AB123" s="25" t="s">
        <v>236</v>
      </c>
      <c r="AC123"/>
      <c r="AD123"/>
      <c r="AE123" s="132" t="s">
        <v>317</v>
      </c>
      <c r="AF123" s="94" t="str">
        <f>IFERROR(INDEX(Tabla10[ID],MATCH(BASE_GRAL[[#This Row],[EMPRESA ADJUDICADA]],Tabla10[Alias],0)),"")</f>
        <v/>
      </c>
      <c r="AG123" s="13" t="s">
        <v>317</v>
      </c>
      <c r="AH123" s="95" t="s">
        <v>317</v>
      </c>
      <c r="AI123" s="95"/>
      <c r="AJ123" s="95"/>
      <c r="AK123" s="95">
        <f>+BASE_GRAL[[#This Row],[COMA ADJUDICADO]]+BASE_GRAL[[#This Row],[AVI ADJUDICADO]]</f>
        <v>0</v>
      </c>
      <c r="AL123" s="97" t="s">
        <v>1224</v>
      </c>
      <c r="AM123" s="13"/>
      <c r="AN123" s="94"/>
    </row>
    <row r="124" spans="1:40" x14ac:dyDescent="0.25">
      <c r="A124">
        <v>149</v>
      </c>
      <c r="B124" t="s">
        <v>1514</v>
      </c>
      <c r="C124">
        <f>IFERROR(INDEX(Tabla6[AÑO],MATCH(B124,Tabla6[Alias],0)),"")</f>
        <v>2018</v>
      </c>
      <c r="D124">
        <f>IFERROR(INDEX(Tabla6[DECRETO],MATCH(B124,Tabla6[Alias],0)),"")</f>
        <v>293</v>
      </c>
      <c r="E124" s="6">
        <f>IFERROR(INDEX(Tabla6[Fecha de Promulgación],MATCH(B124,Tabla6[Alias],0)),"")</f>
        <v>43433</v>
      </c>
      <c r="F124">
        <f>IFERROR(INDEX(Tabla6[Tabla],MATCH(B124,Tabla6[Alias],0)),"")</f>
        <v>8</v>
      </c>
      <c r="G124" s="5" t="str">
        <f>IFERROR(INDEX(Tabla6[Sistema],MATCH(B124,Tabla6[Alias],0)),"")</f>
        <v>E</v>
      </c>
      <c r="H124" s="5" t="str">
        <f>IFERROR(INDEX(Tabla6[ID_OBRA],MATCH(B124,Tabla6[Alias],0)),"")</f>
        <v>18_293_Z_OAC_29</v>
      </c>
      <c r="I124" t="str">
        <f>IFERROR(INDEX(Tabla6[Nombre Obra],MATCH(B124,Tabla6[Alias],0)),"")</f>
        <v>Ampliación S/E La Esperanza</v>
      </c>
      <c r="J124" t="str">
        <f>IFERROR(INDEX(Tabla6[Segmento],MATCH(B124,Tabla6[Alias],0)),"")</f>
        <v>ZONAL</v>
      </c>
      <c r="K124">
        <f>IFERROR(INDEX(Tabla6[Region],MATCH(B124,Tabla6[Alias],0)),"")</f>
        <v>0</v>
      </c>
      <c r="L124" s="13" t="str">
        <f>IFERROR(INDEX(Tabla6[Tipo de Obra],MATCH(B124,Tabla6[Alias],0))," ")</f>
        <v>OAC</v>
      </c>
      <c r="M124" s="13" t="str">
        <f>IFERROR(INDEX(Tabla6[Tipo de Obras],MATCH(B124,Tabla6[Alias],0))," ")</f>
        <v>S/E</v>
      </c>
      <c r="N124" s="13">
        <f>IFERROR(INDEX(Tabla6[Plazo constructivo],MATCH(B124,Tabla6[Alias],0))," ")</f>
        <v>24</v>
      </c>
      <c r="O124" s="14">
        <f>IFERROR(INDEX(Tabla6[Fecha EO],MATCH(B124,Tabla6[Alias],0))," ")</f>
        <v>0</v>
      </c>
      <c r="P124" s="95">
        <f>IFERROR(INDEX(Tabla6[AVI REF],MATCH(B124,Tabla6[Alias],0))," ")</f>
        <v>785617</v>
      </c>
      <c r="Q124" s="95">
        <f>IFERROR(INDEX(Tabla6[COMA REF],MATCH(B124,Tabla6[Alias],0))," ")</f>
        <v>12569.871999999999</v>
      </c>
      <c r="R124" s="95">
        <f>IFERROR(INDEX(Tabla6[VATT REF '[AVI + COMA']],MATCH(B124,Tabla6[Alias],0))," ")</f>
        <v>798186.87199999997</v>
      </c>
      <c r="S124" t="str">
        <f>IFERROR(INDEX(Tabla6[Propietario],MATCH(B124,Tabla6[Alias],0))," ")</f>
        <v>CGE S.A.</v>
      </c>
      <c r="V124" s="117" t="s">
        <v>1301</v>
      </c>
      <c r="W124" s="13" t="s">
        <v>155</v>
      </c>
      <c r="X124" s="106" t="s">
        <v>109</v>
      </c>
      <c r="Y124" s="117" t="s">
        <v>1302</v>
      </c>
      <c r="Z124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3_PROC_ON_19_G05</v>
      </c>
      <c r="AA124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3_PROC_ON_19_G05_SG05</v>
      </c>
      <c r="AB124" s="25" t="s">
        <v>237</v>
      </c>
      <c r="AC124"/>
      <c r="AD124"/>
      <c r="AE124" s="132" t="s">
        <v>317</v>
      </c>
      <c r="AF124" s="94" t="str">
        <f>IFERROR(INDEX(Tabla10[ID],MATCH(BASE_GRAL[[#This Row],[EMPRESA ADJUDICADA]],Tabla10[Alias],0)),"")</f>
        <v/>
      </c>
      <c r="AG124" s="13" t="s">
        <v>317</v>
      </c>
      <c r="AH124" s="95" t="s">
        <v>317</v>
      </c>
      <c r="AI124" s="95"/>
      <c r="AJ124" s="95"/>
      <c r="AK124" s="95">
        <f>+BASE_GRAL[[#This Row],[COMA ADJUDICADO]]+BASE_GRAL[[#This Row],[AVI ADJUDICADO]]</f>
        <v>0</v>
      </c>
      <c r="AL124" s="97" t="s">
        <v>1224</v>
      </c>
      <c r="AM124" s="13"/>
      <c r="AN124" s="94"/>
    </row>
    <row r="125" spans="1:40" x14ac:dyDescent="0.25">
      <c r="A125">
        <v>150</v>
      </c>
      <c r="B125" t="s">
        <v>1515</v>
      </c>
      <c r="C125">
        <f>IFERROR(INDEX(Tabla6[AÑO],MATCH(B125,Tabla6[Alias],0)),"")</f>
        <v>2018</v>
      </c>
      <c r="D125">
        <f>IFERROR(INDEX(Tabla6[DECRETO],MATCH(B125,Tabla6[Alias],0)),"")</f>
        <v>293</v>
      </c>
      <c r="E125" s="6">
        <f>IFERROR(INDEX(Tabla6[Fecha de Promulgación],MATCH(B125,Tabla6[Alias],0)),"")</f>
        <v>43433</v>
      </c>
      <c r="F125">
        <f>IFERROR(INDEX(Tabla6[Tabla],MATCH(B125,Tabla6[Alias],0)),"")</f>
        <v>8</v>
      </c>
      <c r="G125" s="5" t="str">
        <f>IFERROR(INDEX(Tabla6[Sistema],MATCH(B125,Tabla6[Alias],0)),"")</f>
        <v>E</v>
      </c>
      <c r="H125" s="5" t="str">
        <f>IFERROR(INDEX(Tabla6[ID_OBRA],MATCH(B125,Tabla6[Alias],0)),"")</f>
        <v>18_293_Z_OA_30</v>
      </c>
      <c r="I125" t="str">
        <f>IFERROR(INDEX(Tabla6[Nombre Obra],MATCH(B125,Tabla6[Alias],0)),"")</f>
        <v>Ampliación en S/E Negrete</v>
      </c>
      <c r="J125" t="str">
        <f>IFERROR(INDEX(Tabla6[Segmento],MATCH(B125,Tabla6[Alias],0)),"")</f>
        <v>ZONAL</v>
      </c>
      <c r="K125">
        <f>IFERROR(INDEX(Tabla6[Region],MATCH(B125,Tabla6[Alias],0)),"")</f>
        <v>0</v>
      </c>
      <c r="L125" s="13" t="str">
        <f>IFERROR(INDEX(Tabla6[Tipo de Obra],MATCH(B125,Tabla6[Alias],0))," ")</f>
        <v>OA</v>
      </c>
      <c r="M125" s="13" t="str">
        <f>IFERROR(INDEX(Tabla6[Tipo de Obras],MATCH(B125,Tabla6[Alias],0))," ")</f>
        <v>S/E</v>
      </c>
      <c r="N125" s="13">
        <f>IFERROR(INDEX(Tabla6[Plazo constructivo],MATCH(B125,Tabla6[Alias],0))," ")</f>
        <v>24</v>
      </c>
      <c r="O125" s="14">
        <f>IFERROR(INDEX(Tabla6[Fecha EO],MATCH(B125,Tabla6[Alias],0))," ")</f>
        <v>0</v>
      </c>
      <c r="P125" s="95">
        <f>IFERROR(INDEX(Tabla6[AVI REF],MATCH(B125,Tabla6[Alias],0))," ")</f>
        <v>2077202.0000000002</v>
      </c>
      <c r="Q125" s="95">
        <f>IFERROR(INDEX(Tabla6[COMA REF],MATCH(B125,Tabla6[Alias],0))," ")</f>
        <v>33235.232000000004</v>
      </c>
      <c r="R125" s="95">
        <f>IFERROR(INDEX(Tabla6[VATT REF '[AVI + COMA']],MATCH(B125,Tabla6[Alias],0))," ")</f>
        <v>2110437.2320000003</v>
      </c>
      <c r="S125" t="str">
        <f>IFERROR(INDEX(Tabla6[Propietario],MATCH(B125,Tabla6[Alias],0))," ")</f>
        <v>Frontel S.A.</v>
      </c>
      <c r="V125" s="117" t="s">
        <v>1261</v>
      </c>
      <c r="W125" s="13" t="s">
        <v>155</v>
      </c>
      <c r="X125" s="106" t="s">
        <v>110</v>
      </c>
      <c r="Y125" s="117" t="s">
        <v>120</v>
      </c>
      <c r="Z125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3_PROC_OA_19_G07</v>
      </c>
      <c r="AA125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3_PROC_OA_19_G07_SG03</v>
      </c>
      <c r="AB125" s="25" t="s">
        <v>238</v>
      </c>
      <c r="AC125"/>
      <c r="AD125"/>
      <c r="AE125" s="123" t="s">
        <v>1306</v>
      </c>
      <c r="AF125" s="94" t="str">
        <f>IFERROR(INDEX(Tabla10[ID],MATCH(BASE_GRAL[[#This Row],[EMPRESA ADJUDICADA]],Tabla10[Alias],0)),"")</f>
        <v>PROP_46</v>
      </c>
      <c r="AG125" s="94">
        <v>43812</v>
      </c>
      <c r="AH125" s="95">
        <v>5466943.0999999996</v>
      </c>
      <c r="AI125" s="95"/>
      <c r="AJ125" s="95"/>
      <c r="AK125" s="95">
        <f>+BASE_GRAL[[#This Row],[COMA ADJUDICADO]]+BASE_GRAL[[#This Row],[AVI ADJUDICADO]]</f>
        <v>0</v>
      </c>
      <c r="AL125" t="s">
        <v>1223</v>
      </c>
      <c r="AM125" s="13" t="s">
        <v>607</v>
      </c>
      <c r="AN125" s="94">
        <v>44168</v>
      </c>
    </row>
    <row r="126" spans="1:40" x14ac:dyDescent="0.25">
      <c r="A126">
        <v>151</v>
      </c>
      <c r="B126" t="s">
        <v>1516</v>
      </c>
      <c r="C126">
        <f>IFERROR(INDEX(Tabla6[AÑO],MATCH(B126,Tabla6[Alias],0)),"")</f>
        <v>2018</v>
      </c>
      <c r="D126">
        <f>IFERROR(INDEX(Tabla6[DECRETO],MATCH(B126,Tabla6[Alias],0)),"")</f>
        <v>293</v>
      </c>
      <c r="E126" s="6">
        <f>IFERROR(INDEX(Tabla6[Fecha de Promulgación],MATCH(B126,Tabla6[Alias],0)),"")</f>
        <v>43433</v>
      </c>
      <c r="F126">
        <f>IFERROR(INDEX(Tabla6[Tabla],MATCH(B126,Tabla6[Alias],0)),"")</f>
        <v>8</v>
      </c>
      <c r="G126" s="5" t="str">
        <f>IFERROR(INDEX(Tabla6[Sistema],MATCH(B126,Tabla6[Alias],0)),"")</f>
        <v>E</v>
      </c>
      <c r="H126" s="5" t="str">
        <f>IFERROR(INDEX(Tabla6[ID_OBRA],MATCH(B126,Tabla6[Alias],0)),"")</f>
        <v>18_293_Z_OAC_31</v>
      </c>
      <c r="I126" t="str">
        <f>IFERROR(INDEX(Tabla6[Nombre Obra],MATCH(B126,Tabla6[Alias],0)),"")</f>
        <v>Ampliación en S/E Laja</v>
      </c>
      <c r="J126" t="str">
        <f>IFERROR(INDEX(Tabla6[Segmento],MATCH(B126,Tabla6[Alias],0)),"")</f>
        <v>ZONAL</v>
      </c>
      <c r="K126">
        <f>IFERROR(INDEX(Tabla6[Region],MATCH(B126,Tabla6[Alias],0)),"")</f>
        <v>0</v>
      </c>
      <c r="L126" s="13" t="str">
        <f>IFERROR(INDEX(Tabla6[Tipo de Obra],MATCH(B126,Tabla6[Alias],0))," ")</f>
        <v>OAC</v>
      </c>
      <c r="M126" s="13" t="str">
        <f>IFERROR(INDEX(Tabla6[Tipo de Obras],MATCH(B126,Tabla6[Alias],0))," ")</f>
        <v>S/E</v>
      </c>
      <c r="N126" s="13">
        <f>IFERROR(INDEX(Tabla6[Plazo constructivo],MATCH(B126,Tabla6[Alias],0))," ")</f>
        <v>24</v>
      </c>
      <c r="O126" s="14">
        <f>IFERROR(INDEX(Tabla6[Fecha EO],MATCH(B126,Tabla6[Alias],0))," ")</f>
        <v>0</v>
      </c>
      <c r="P126" s="95">
        <f>IFERROR(INDEX(Tabla6[AVI REF],MATCH(B126,Tabla6[Alias],0))," ")</f>
        <v>580426</v>
      </c>
      <c r="Q126" s="95">
        <f>IFERROR(INDEX(Tabla6[COMA REF],MATCH(B126,Tabla6[Alias],0))," ")</f>
        <v>9286.8160000000007</v>
      </c>
      <c r="R126" s="95">
        <f>IFERROR(INDEX(Tabla6[VATT REF '[AVI + COMA']],MATCH(B126,Tabla6[Alias],0))," ")</f>
        <v>589712.81599999999</v>
      </c>
      <c r="S126" t="str">
        <f>IFERROR(INDEX(Tabla6[Propietario],MATCH(B126,Tabla6[Alias],0))," ")</f>
        <v>Transelec S.A.</v>
      </c>
      <c r="V126" s="117" t="s">
        <v>1301</v>
      </c>
      <c r="W126" s="13" t="s">
        <v>155</v>
      </c>
      <c r="X126" s="106" t="s">
        <v>108</v>
      </c>
      <c r="Y126" s="117" t="s">
        <v>1303</v>
      </c>
      <c r="Z126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3_PROC_ON_19_G06</v>
      </c>
      <c r="AA126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3_PROC_ON_19_G06_SG06</v>
      </c>
      <c r="AB126" s="25" t="s">
        <v>239</v>
      </c>
      <c r="AC126"/>
      <c r="AD126"/>
      <c r="AE126" s="132" t="s">
        <v>164</v>
      </c>
      <c r="AF126" s="94" t="str">
        <f>IFERROR(INDEX(Tabla10[ID],MATCH(BASE_GRAL[[#This Row],[EMPRESA ADJUDICADA]],Tabla10[Alias],0)),"")</f>
        <v>PROP_06</v>
      </c>
      <c r="AG126" s="105">
        <v>43894</v>
      </c>
      <c r="AH126" s="95">
        <v>1175080</v>
      </c>
      <c r="AI126" s="95"/>
      <c r="AJ126" s="95"/>
      <c r="AK126" s="95">
        <f>+BASE_GRAL[[#This Row],[COMA ADJUDICADO]]+BASE_GRAL[[#This Row],[AVI ADJUDICADO]]</f>
        <v>0</v>
      </c>
      <c r="AL126" t="s">
        <v>1223</v>
      </c>
      <c r="AM126" s="13" t="s">
        <v>1308</v>
      </c>
      <c r="AN126" s="94">
        <v>44090</v>
      </c>
    </row>
    <row r="127" spans="1:40" x14ac:dyDescent="0.25">
      <c r="A127">
        <v>152</v>
      </c>
      <c r="B127" t="s">
        <v>1517</v>
      </c>
      <c r="C127">
        <f>IFERROR(INDEX(Tabla6[AÑO],MATCH(B127,Tabla6[Alias],0)),"")</f>
        <v>2018</v>
      </c>
      <c r="D127">
        <f>IFERROR(INDEX(Tabla6[DECRETO],MATCH(B127,Tabla6[Alias],0)),"")</f>
        <v>293</v>
      </c>
      <c r="E127" s="6">
        <f>IFERROR(INDEX(Tabla6[Fecha de Promulgación],MATCH(B127,Tabla6[Alias],0)),"")</f>
        <v>43433</v>
      </c>
      <c r="F127">
        <f>IFERROR(INDEX(Tabla6[Tabla],MATCH(B127,Tabla6[Alias],0)),"")</f>
        <v>8</v>
      </c>
      <c r="G127" s="5" t="str">
        <f>IFERROR(INDEX(Tabla6[Sistema],MATCH(B127,Tabla6[Alias],0)),"")</f>
        <v>E</v>
      </c>
      <c r="H127" s="5" t="str">
        <f>IFERROR(INDEX(Tabla6[ID_OBRA],MATCH(B127,Tabla6[Alias],0)),"")</f>
        <v>18_293_Z_OAC_32</v>
      </c>
      <c r="I127" t="str">
        <f>IFERROR(INDEX(Tabla6[Nombre Obra],MATCH(B127,Tabla6[Alias],0)),"")</f>
        <v>Ampliación en S/E Celulosa Laja</v>
      </c>
      <c r="J127" t="str">
        <f>IFERROR(INDEX(Tabla6[Segmento],MATCH(B127,Tabla6[Alias],0)),"")</f>
        <v>ZONAL</v>
      </c>
      <c r="K127">
        <f>IFERROR(INDEX(Tabla6[Region],MATCH(B127,Tabla6[Alias],0)),"")</f>
        <v>0</v>
      </c>
      <c r="L127" s="13" t="str">
        <f>IFERROR(INDEX(Tabla6[Tipo de Obra],MATCH(B127,Tabla6[Alias],0))," ")</f>
        <v>OAC</v>
      </c>
      <c r="M127" s="13" t="str">
        <f>IFERROR(INDEX(Tabla6[Tipo de Obras],MATCH(B127,Tabla6[Alias],0))," ")</f>
        <v>S/E</v>
      </c>
      <c r="N127" s="13">
        <f>IFERROR(INDEX(Tabla6[Plazo constructivo],MATCH(B127,Tabla6[Alias],0))," ")</f>
        <v>24</v>
      </c>
      <c r="O127" s="14">
        <f>IFERROR(INDEX(Tabla6[Fecha EO],MATCH(B127,Tabla6[Alias],0))," ")</f>
        <v>0</v>
      </c>
      <c r="P127" s="95">
        <f>IFERROR(INDEX(Tabla6[AVI REF],MATCH(B127,Tabla6[Alias],0))," ")</f>
        <v>774972</v>
      </c>
      <c r="Q127" s="95">
        <f>IFERROR(INDEX(Tabla6[COMA REF],MATCH(B127,Tabla6[Alias],0))," ")</f>
        <v>12399.552</v>
      </c>
      <c r="R127" s="95">
        <f>IFERROR(INDEX(Tabla6[VATT REF '[AVI + COMA']],MATCH(B127,Tabla6[Alias],0))," ")</f>
        <v>787371.55200000003</v>
      </c>
      <c r="S127" t="str">
        <f>IFERROR(INDEX(Tabla6[Propietario],MATCH(B127,Tabla6[Alias],0))," ")</f>
        <v>CMPC  S.A.</v>
      </c>
      <c r="V127" s="117" t="s">
        <v>1301</v>
      </c>
      <c r="W127" s="13" t="s">
        <v>155</v>
      </c>
      <c r="X127" s="106" t="s">
        <v>108</v>
      </c>
      <c r="Y127" s="117" t="s">
        <v>1303</v>
      </c>
      <c r="Z127" s="106" t="str">
        <f>CONCATENATE(LEFT(BASE_GRAL[[#This Row],[Proceso '[AÑO + DECRETO']]],2),MID(BASE_GRAL[[#This Row],[Proceso '[AÑO + DECRETO']]],3,4),RIGHT(BASE_GRAL[[#This Row],[Proceso '[AÑO + DECRETO']]],6),"_",BASE_GRAL[[#This Row],[Grupo]])</f>
        <v>3_PROC_ON_19_G06</v>
      </c>
      <c r="AA127" s="152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>3_PROC_ON_19_G06_SG06</v>
      </c>
      <c r="AB127" s="25" t="s">
        <v>240</v>
      </c>
      <c r="AC127"/>
      <c r="AD127"/>
      <c r="AE127" s="132" t="s">
        <v>164</v>
      </c>
      <c r="AF127" s="94" t="str">
        <f>IFERROR(INDEX(Tabla10[ID],MATCH(BASE_GRAL[[#This Row],[EMPRESA ADJUDICADA]],Tabla10[Alias],0)),"")</f>
        <v>PROP_06</v>
      </c>
      <c r="AG127" s="105">
        <v>43894</v>
      </c>
      <c r="AH127" s="95">
        <v>1560020</v>
      </c>
      <c r="AI127" s="95"/>
      <c r="AJ127" s="95"/>
      <c r="AK127" s="95">
        <f>+BASE_GRAL[[#This Row],[COMA ADJUDICADO]]+BASE_GRAL[[#This Row],[AVI ADJUDICADO]]</f>
        <v>0</v>
      </c>
      <c r="AL127" t="s">
        <v>1223</v>
      </c>
      <c r="AM127" s="13" t="s">
        <v>1308</v>
      </c>
      <c r="AN127" s="94">
        <v>44090</v>
      </c>
    </row>
    <row r="128" spans="1:40" x14ac:dyDescent="0.25">
      <c r="A128" s="123">
        <v>153</v>
      </c>
      <c r="B128" t="s">
        <v>1518</v>
      </c>
      <c r="C128">
        <f>IFERROR(INDEX(Tabla6[AÑO],MATCH(B128,Tabla6[Alias],0)),"")</f>
        <v>2018</v>
      </c>
      <c r="D128">
        <f>IFERROR(INDEX(Tabla6[DECRETO],MATCH(B128,Tabla6[Alias],0)),"")</f>
        <v>293</v>
      </c>
      <c r="E128" s="6">
        <f>IFERROR(INDEX(Tabla6[Fecha de Promulgación],MATCH(B128,Tabla6[Alias],0)),"")</f>
        <v>43433</v>
      </c>
      <c r="F128">
        <f>IFERROR(INDEX(Tabla6[Tabla],MATCH(B128,Tabla6[Alias],0)),"")</f>
        <v>8</v>
      </c>
      <c r="G128" s="5" t="str">
        <f>IFERROR(INDEX(Tabla6[Sistema],MATCH(B128,Tabla6[Alias],0)),"")</f>
        <v>E</v>
      </c>
      <c r="H128" s="127" t="str">
        <f>IFERROR(INDEX(Tabla6[ID_OBRA],MATCH(B128,Tabla6[Alias],0)),"")</f>
        <v>18_293_Z_OA_33</v>
      </c>
      <c r="I128" t="str">
        <f>IFERROR(INDEX(Tabla6[Nombre Obra],MATCH(B128,Tabla6[Alias],0)),"")</f>
        <v>Aumento de Capacidad Línea 1x66 kV Chacahuín - Linares</v>
      </c>
      <c r="J128" t="str">
        <f>IFERROR(INDEX(Tabla6[Segmento],MATCH(B128,Tabla6[Alias],0)),"")</f>
        <v>ZONAL</v>
      </c>
      <c r="K128">
        <f>IFERROR(INDEX(Tabla6[Region],MATCH(B128,Tabla6[Alias],0)),"")</f>
        <v>0</v>
      </c>
      <c r="L128" s="13" t="str">
        <f>IFERROR(INDEX(Tabla6[Tipo de Obra],MATCH(B128,Tabla6[Alias],0))," ")</f>
        <v>OA</v>
      </c>
      <c r="M128" s="13" t="str">
        <f>IFERROR(INDEX(Tabla6[Tipo de Obras],MATCH(B128,Tabla6[Alias],0))," ")</f>
        <v>S/E</v>
      </c>
      <c r="N128" s="13">
        <f>IFERROR(INDEX(Tabla6[Plazo constructivo],MATCH(B128,Tabla6[Alias],0))," ")</f>
        <v>12</v>
      </c>
      <c r="O128" s="14">
        <f>IFERROR(INDEX(Tabla6[Fecha EO],MATCH(B128,Tabla6[Alias],0))," ")</f>
        <v>0</v>
      </c>
      <c r="P128" s="95">
        <f>IFERROR(INDEX(Tabla6[AVI REF],MATCH(B128,Tabla6[Alias],0))," ")</f>
        <v>244548</v>
      </c>
      <c r="Q128" s="95">
        <f>IFERROR(INDEX(Tabla6[COMA REF],MATCH(B128,Tabla6[Alias],0))," ")</f>
        <v>3912.768</v>
      </c>
      <c r="R128" s="95">
        <f>IFERROR(INDEX(Tabla6[VATT REF '[AVI + COMA']],MATCH(B128,Tabla6[Alias],0))," ")</f>
        <v>248460.76800000001</v>
      </c>
      <c r="S128" t="str">
        <f>IFERROR(INDEX(Tabla6[Propietario],MATCH(B128,Tabla6[Alias],0))," ")</f>
        <v>Transelec S.A.</v>
      </c>
      <c r="T128" s="123"/>
      <c r="U128" s="123"/>
      <c r="V128" s="123" t="s">
        <v>1261</v>
      </c>
      <c r="W128" s="128" t="s">
        <v>155</v>
      </c>
      <c r="X128" s="128" t="s">
        <v>108</v>
      </c>
      <c r="Y128" s="123"/>
      <c r="Z128" s="128" t="str">
        <f>CONCATENATE(LEFT(BASE_GRAL[[#This Row],[Proceso '[AÑO + DECRETO']]],2),MID(BASE_GRAL[[#This Row],[Proceso '[AÑO + DECRETO']]],3,4),RIGHT(BASE_GRAL[[#This Row],[Proceso '[AÑO + DECRETO']]],6),"_",BASE_GRAL[[#This Row],[Grupo]])</f>
        <v>3_PROC_OA_19_G06</v>
      </c>
      <c r="AA128" s="155" t="str">
        <f>IF(BASE_GRAL[[#This Row],[Subgrupo]]="","",
CONCATENATE(LEFT(BASE_GRAL[[#This Row],[Proceso '[AÑO + DECRETO']]],2),MID(BASE_GRAL[[#This Row],[Proceso '[AÑO + DECRETO']]],3,4),RIGHT(BASE_GRAL[[#This Row],[Proceso '[AÑO + DECRETO']]],6),"_",BASE_GRAL[[#This Row],[Grupo]],"_",BASE_GRAL[[#This Row],[Subgrupo]]))</f>
        <v/>
      </c>
      <c r="AB128" s="130" t="s">
        <v>241</v>
      </c>
      <c r="AC128" s="123"/>
      <c r="AD128" s="123"/>
      <c r="AE128" s="132" t="s">
        <v>317</v>
      </c>
      <c r="AF128" s="94" t="str">
        <f>IFERROR(INDEX(Tabla10[ID],MATCH(BASE_GRAL[[#This Row],[EMPRESA ADJUDICADA]],Tabla10[Alias],0)),"")</f>
        <v/>
      </c>
      <c r="AG128" s="128" t="s">
        <v>317</v>
      </c>
      <c r="AH128" s="129" t="s">
        <v>317</v>
      </c>
      <c r="AI128" s="129"/>
      <c r="AJ128" s="129"/>
      <c r="AK128" s="129">
        <f>+BASE_GRAL[[#This Row],[COMA ADJUDICADO]]+BASE_GRAL[[#This Row],[AVI ADJUDICADO]]</f>
        <v>0</v>
      </c>
      <c r="AL128" s="123" t="s">
        <v>1226</v>
      </c>
      <c r="AM128" s="128" t="s">
        <v>317</v>
      </c>
      <c r="AN128" s="131" t="s">
        <v>317</v>
      </c>
    </row>
    <row r="136" spans="45:45" x14ac:dyDescent="0.25">
      <c r="AS136" t="s">
        <v>1327</v>
      </c>
    </row>
    <row r="274" spans="50:50" x14ac:dyDescent="0.25">
      <c r="AX274" s="94"/>
    </row>
  </sheetData>
  <mergeCells count="2">
    <mergeCell ref="AC2:AJ2"/>
    <mergeCell ref="AL2:AM2"/>
  </mergeCells>
  <phoneticPr fontId="1" type="noConversion"/>
  <dataValidations count="4">
    <dataValidation type="list" allowBlank="1" showInputMessage="1" showErrorMessage="1" sqref="W4:W128" xr:uid="{B4E72AC0-AD18-4916-8F93-055B3278105C}">
      <formula1>"LICITADA,NO LICITADA POR ART.146,NO LICITADA POR ART.102,NO LICITADA POR MODF. DECRETO, NO LICITADA POR ART.126, NO LICIDADA POR ESTUDIO DE FRANJA, PENDIENTE"</formula1>
    </dataValidation>
    <dataValidation type="list" allowBlank="1" showInputMessage="1" showErrorMessage="1" sqref="AE4:AE128" xr:uid="{0EA8DCDF-A9F2-4FB3-B0A2-0F650B726347}">
      <formula1>ALIAS</formula1>
    </dataValidation>
    <dataValidation type="list" allowBlank="1" showInputMessage="1" showErrorMessage="1" sqref="AL4:AL128" xr:uid="{B28E27AC-9143-4A20-AC8B-75D4CB32D7D3}">
      <formula1>"ADJUDICADA, DESIERTA - SIN OFERTAS, DESIERTA - POR VMAX, DESIERTA - POR OF.ADM,DESIERTA - POR OF.TEC"</formula1>
    </dataValidation>
    <dataValidation type="list" allowBlank="1" showInputMessage="1" showErrorMessage="1" sqref="B4:B1048576" xr:uid="{5237AD15-CE1A-483F-8838-24E6E57C3939}">
      <formula1>AliasObra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E11B5-DA18-4FC7-AD4E-9EA971929BA5}">
  <sheetPr codeName="Hoja8"/>
  <dimension ref="A1:V101"/>
  <sheetViews>
    <sheetView topLeftCell="I1" zoomScale="85" zoomScaleNormal="85" workbookViewId="0">
      <selection activeCell="U82" sqref="U82"/>
    </sheetView>
  </sheetViews>
  <sheetFormatPr baseColWidth="10" defaultRowHeight="15" x14ac:dyDescent="0.25"/>
  <cols>
    <col min="1" max="1" width="5.7109375" bestFit="1" customWidth="1"/>
    <col min="4" max="4" width="22.28515625" customWidth="1"/>
    <col min="7" max="7" width="17.42578125" bestFit="1" customWidth="1"/>
    <col min="8" max="8" width="30" customWidth="1"/>
    <col min="9" max="9" width="39.85546875" customWidth="1"/>
    <col min="10" max="11" width="11.5703125" customWidth="1"/>
    <col min="12" max="12" width="13.7109375" customWidth="1"/>
    <col min="13" max="13" width="14.5703125" customWidth="1"/>
    <col min="14" max="14" width="18.140625" customWidth="1"/>
    <col min="17" max="17" width="12.140625" customWidth="1"/>
    <col min="18" max="18" width="23.140625" customWidth="1"/>
    <col min="19" max="19" width="37.85546875" bestFit="1" customWidth="1"/>
    <col min="20" max="20" width="33.7109375" customWidth="1"/>
    <col min="21" max="21" width="23.140625" customWidth="1"/>
    <col min="22" max="22" width="37.85546875" customWidth="1"/>
  </cols>
  <sheetData>
    <row r="1" spans="1:22" x14ac:dyDescent="0.25">
      <c r="A1" t="s">
        <v>6</v>
      </c>
      <c r="B1" t="s">
        <v>1414</v>
      </c>
      <c r="C1" t="s">
        <v>1415</v>
      </c>
      <c r="D1" t="s">
        <v>142</v>
      </c>
      <c r="E1" t="s">
        <v>7</v>
      </c>
      <c r="F1" t="s">
        <v>14</v>
      </c>
      <c r="G1" t="s">
        <v>1416</v>
      </c>
      <c r="H1" t="s">
        <v>1417</v>
      </c>
      <c r="I1" t="s">
        <v>1309</v>
      </c>
      <c r="J1" t="s">
        <v>2</v>
      </c>
      <c r="K1" t="s">
        <v>1519</v>
      </c>
      <c r="L1" t="s">
        <v>3</v>
      </c>
      <c r="M1" t="s">
        <v>4</v>
      </c>
      <c r="N1" t="s">
        <v>1418</v>
      </c>
      <c r="O1" t="s">
        <v>8</v>
      </c>
      <c r="P1" t="s">
        <v>9</v>
      </c>
      <c r="Q1" t="s">
        <v>10</v>
      </c>
      <c r="R1" t="s">
        <v>12</v>
      </c>
      <c r="S1" t="s">
        <v>5</v>
      </c>
      <c r="T1" s="118" t="s">
        <v>1325</v>
      </c>
      <c r="U1" s="118" t="s">
        <v>1321</v>
      </c>
      <c r="V1" t="s">
        <v>1538</v>
      </c>
    </row>
    <row r="2" spans="1:22" x14ac:dyDescent="0.25">
      <c r="A2">
        <v>1</v>
      </c>
      <c r="B2">
        <v>2017</v>
      </c>
      <c r="C2">
        <v>418</v>
      </c>
      <c r="D2" s="6">
        <v>42920</v>
      </c>
      <c r="E2">
        <v>13</v>
      </c>
      <c r="F2" t="s">
        <v>15</v>
      </c>
      <c r="G2" t="s">
        <v>1114</v>
      </c>
      <c r="H2" t="s">
        <v>22</v>
      </c>
      <c r="I2" t="str">
        <f>Tabla6[[#This Row],[DECRETO]]&amp;" - "&amp;Tabla6[[#This Row],[Nombre Obra]]</f>
        <v>418 - Ampliación en S/E Parinacota</v>
      </c>
      <c r="J2" t="s">
        <v>154</v>
      </c>
      <c r="L2" t="s">
        <v>17</v>
      </c>
      <c r="M2" t="s">
        <v>18</v>
      </c>
      <c r="N2">
        <v>18</v>
      </c>
      <c r="O2" s="160">
        <v>43617</v>
      </c>
      <c r="P2">
        <v>177600</v>
      </c>
      <c r="Q2">
        <v>28200</v>
      </c>
      <c r="R2">
        <v>205800</v>
      </c>
      <c r="S2" t="s">
        <v>27</v>
      </c>
      <c r="T2" t="str" cm="1">
        <f t="array" ref="T2">INDEX(BASE_GRAL[ESTADO 1], MAX(IF(BASE_GRAL[ID_INDIVIDUAL]=G2, ROW(BASE_GRAL[ID_INDIVIDUAL])-MIN(ROW(BASE_GRAL[ID_INDIVIDUAL]))+1)))</f>
        <v>LICITADA</v>
      </c>
      <c r="U2" t="str" cm="1">
        <f t="array" ref="U2">INDEX(BASE_GRAL[ESTADO 2], MAX(IF(BASE_GRAL[ID_INDIVIDUAL]=G2, ROW(BASE_GRAL[ID_INDIVIDUAL])-MIN(ROW(BASE_GRAL[ID_INDIVIDUAL]))+1)))</f>
        <v>ADJUDICADA</v>
      </c>
      <c r="V2" t="str" cm="1">
        <f t="array" ref="V2">INDEX(BASE_GRAL[Proceso '[AÑO + DECRETO']], MAX(IF(BASE_GRAL[ID_INDIVIDUAL]=G2, ROW(BASE_GRAL[ID_INDIVIDUAL])-MIN(ROW(BASE_GRAL[ID_INDIVIDUAL]))+1)))</f>
        <v>1_PROCESO_OA_17</v>
      </c>
    </row>
    <row r="3" spans="1:22" x14ac:dyDescent="0.25">
      <c r="A3">
        <v>2</v>
      </c>
      <c r="B3">
        <v>2017</v>
      </c>
      <c r="C3">
        <v>418</v>
      </c>
      <c r="D3" s="6">
        <v>42920</v>
      </c>
      <c r="E3">
        <v>13</v>
      </c>
      <c r="F3" t="s">
        <v>15</v>
      </c>
      <c r="G3" t="s">
        <v>1115</v>
      </c>
      <c r="H3" t="s">
        <v>23</v>
      </c>
      <c r="I3" t="str">
        <f>Tabla6[[#This Row],[DECRETO]]&amp;" - "&amp;Tabla6[[#This Row],[Nombre Obra]]</f>
        <v>418 - Ampliación en S/E Cóndores</v>
      </c>
      <c r="J3" t="s">
        <v>154</v>
      </c>
      <c r="L3" t="s">
        <v>17</v>
      </c>
      <c r="M3" t="s">
        <v>18</v>
      </c>
      <c r="N3">
        <v>18</v>
      </c>
      <c r="O3" s="160">
        <v>43617</v>
      </c>
      <c r="P3">
        <v>202400</v>
      </c>
      <c r="Q3">
        <v>32100</v>
      </c>
      <c r="R3">
        <v>234500</v>
      </c>
      <c r="S3" t="s">
        <v>27</v>
      </c>
      <c r="T3" t="str" cm="1">
        <f t="array" ref="T3">INDEX(BASE_GRAL[ESTADO 1], MAX(IF(BASE_GRAL[ID_INDIVIDUAL]=G3, ROW(BASE_GRAL[ID_INDIVIDUAL])-MIN(ROW(BASE_GRAL[ID_INDIVIDUAL]))+1)))</f>
        <v>LICITADA</v>
      </c>
      <c r="U3" t="str" cm="1">
        <f t="array" ref="U3">INDEX(BASE_GRAL[ESTADO 2], MAX(IF(BASE_GRAL[ID_INDIVIDUAL]=G3, ROW(BASE_GRAL[ID_INDIVIDUAL])-MIN(ROW(BASE_GRAL[ID_INDIVIDUAL]))+1)))</f>
        <v>ADJUDICADA</v>
      </c>
      <c r="V3" t="str" cm="1">
        <f t="array" ref="V3">INDEX(BASE_GRAL[Proceso '[AÑO + DECRETO']], MAX(IF(BASE_GRAL[ID_INDIVIDUAL]=G3, ROW(BASE_GRAL[ID_INDIVIDUAL])-MIN(ROW(BASE_GRAL[ID_INDIVIDUAL]))+1)))</f>
        <v>1_PROCESO_OA_17</v>
      </c>
    </row>
    <row r="4" spans="1:22" x14ac:dyDescent="0.25">
      <c r="A4">
        <v>3</v>
      </c>
      <c r="B4">
        <v>2017</v>
      </c>
      <c r="C4">
        <v>418</v>
      </c>
      <c r="D4" s="6">
        <v>42920</v>
      </c>
      <c r="E4">
        <v>13</v>
      </c>
      <c r="F4" t="s">
        <v>15</v>
      </c>
      <c r="G4" t="s">
        <v>1116</v>
      </c>
      <c r="H4" t="s">
        <v>24</v>
      </c>
      <c r="I4" t="str">
        <f>Tabla6[[#This Row],[DECRETO]]&amp;" - "&amp;Tabla6[[#This Row],[Nombre Obra]]</f>
        <v>418 - Ampliación en S/E Calama</v>
      </c>
      <c r="J4" t="s">
        <v>154</v>
      </c>
      <c r="L4" t="s">
        <v>17</v>
      </c>
      <c r="M4" t="s">
        <v>18</v>
      </c>
      <c r="N4">
        <v>18</v>
      </c>
      <c r="O4" s="160">
        <v>43617</v>
      </c>
      <c r="P4">
        <v>534800</v>
      </c>
      <c r="Q4">
        <v>84800</v>
      </c>
      <c r="R4">
        <v>619600</v>
      </c>
      <c r="S4" t="s">
        <v>27</v>
      </c>
      <c r="T4" t="str" cm="1">
        <f t="array" ref="T4">INDEX(BASE_GRAL[ESTADO 1], MAX(IF(BASE_GRAL[ID_INDIVIDUAL]=G4, ROW(BASE_GRAL[ID_INDIVIDUAL])-MIN(ROW(BASE_GRAL[ID_INDIVIDUAL]))+1)))</f>
        <v>LICITADA</v>
      </c>
      <c r="U4" t="str" cm="1">
        <f t="array" ref="U4">INDEX(BASE_GRAL[ESTADO 2], MAX(IF(BASE_GRAL[ID_INDIVIDUAL]=G4, ROW(BASE_GRAL[ID_INDIVIDUAL])-MIN(ROW(BASE_GRAL[ID_INDIVIDUAL]))+1)))</f>
        <v>ADJUDICADA</v>
      </c>
      <c r="V4" t="str" cm="1">
        <f t="array" ref="V4">INDEX(BASE_GRAL[Proceso '[AÑO + DECRETO']], MAX(IF(BASE_GRAL[ID_INDIVIDUAL]=G4, ROW(BASE_GRAL[ID_INDIVIDUAL])-MIN(ROW(BASE_GRAL[ID_INDIVIDUAL]))+1)))</f>
        <v>2_PROCESO_OA_18</v>
      </c>
    </row>
    <row r="5" spans="1:22" x14ac:dyDescent="0.25">
      <c r="A5">
        <v>4</v>
      </c>
      <c r="B5">
        <v>2017</v>
      </c>
      <c r="C5">
        <v>418</v>
      </c>
      <c r="D5" s="6">
        <v>42920</v>
      </c>
      <c r="E5">
        <v>13</v>
      </c>
      <c r="F5" t="s">
        <v>15</v>
      </c>
      <c r="G5" t="s">
        <v>1117</v>
      </c>
      <c r="H5" t="s">
        <v>25</v>
      </c>
      <c r="I5" t="str">
        <f>Tabla6[[#This Row],[DECRETO]]&amp;" - "&amp;Tabla6[[#This Row],[Nombre Obra]]</f>
        <v>418 - Ampliación en S/E Quiani</v>
      </c>
      <c r="J5" t="s">
        <v>154</v>
      </c>
      <c r="L5" t="s">
        <v>17</v>
      </c>
      <c r="M5" t="s">
        <v>18</v>
      </c>
      <c r="N5">
        <v>18</v>
      </c>
      <c r="O5" s="160">
        <v>43617</v>
      </c>
      <c r="P5">
        <v>227000</v>
      </c>
      <c r="Q5">
        <v>36000</v>
      </c>
      <c r="R5">
        <v>263000</v>
      </c>
      <c r="S5" t="s">
        <v>27</v>
      </c>
      <c r="T5" t="str" cm="1">
        <f t="array" ref="T5">INDEX(BASE_GRAL[ESTADO 1], MAX(IF(BASE_GRAL[ID_INDIVIDUAL]=G5, ROW(BASE_GRAL[ID_INDIVIDUAL])-MIN(ROW(BASE_GRAL[ID_INDIVIDUAL]))+1)))</f>
        <v>LICITADA</v>
      </c>
      <c r="U5" t="str" cm="1">
        <f t="array" ref="U5">INDEX(BASE_GRAL[ESTADO 2], MAX(IF(BASE_GRAL[ID_INDIVIDUAL]=G5, ROW(BASE_GRAL[ID_INDIVIDUAL])-MIN(ROW(BASE_GRAL[ID_INDIVIDUAL]))+1)))</f>
        <v>ADJUDICADA</v>
      </c>
      <c r="V5" t="str" cm="1">
        <f t="array" ref="V5">INDEX(BASE_GRAL[Proceso '[AÑO + DECRETO']], MAX(IF(BASE_GRAL[ID_INDIVIDUAL]=G5, ROW(BASE_GRAL[ID_INDIVIDUAL])-MIN(ROW(BASE_GRAL[ID_INDIVIDUAL]))+1)))</f>
        <v>1_PROCESO_OA_17</v>
      </c>
    </row>
    <row r="6" spans="1:22" x14ac:dyDescent="0.25">
      <c r="A6">
        <v>5</v>
      </c>
      <c r="B6">
        <v>2017</v>
      </c>
      <c r="C6">
        <v>418</v>
      </c>
      <c r="D6" s="6">
        <v>42920</v>
      </c>
      <c r="E6">
        <v>13</v>
      </c>
      <c r="F6" t="s">
        <v>15</v>
      </c>
      <c r="G6" t="s">
        <v>1118</v>
      </c>
      <c r="H6" t="s">
        <v>21</v>
      </c>
      <c r="I6" t="str">
        <f>Tabla6[[#This Row],[DECRETO]]&amp;" - "&amp;Tabla6[[#This Row],[Nombre Obra]]</f>
        <v xml:space="preserve">418 - Ampliación en S/E Capricornio </v>
      </c>
      <c r="J6" t="s">
        <v>154</v>
      </c>
      <c r="L6" t="s">
        <v>17</v>
      </c>
      <c r="M6" t="s">
        <v>18</v>
      </c>
      <c r="N6">
        <v>28</v>
      </c>
      <c r="O6" s="160">
        <v>43922</v>
      </c>
      <c r="P6">
        <v>1058600</v>
      </c>
      <c r="Q6">
        <v>167900</v>
      </c>
      <c r="R6">
        <v>1226500</v>
      </c>
      <c r="S6" t="s">
        <v>26</v>
      </c>
      <c r="T6" t="str" cm="1">
        <f t="array" ref="T6">INDEX(BASE_GRAL[ESTADO 1], MAX(IF(BASE_GRAL[ID_INDIVIDUAL]=G6, ROW(BASE_GRAL[ID_INDIVIDUAL])-MIN(ROW(BASE_GRAL[ID_INDIVIDUAL]))+1)))</f>
        <v>LICITADA</v>
      </c>
      <c r="U6" t="str" cm="1">
        <f t="array" ref="U6">INDEX(BASE_GRAL[ESTADO 2], MAX(IF(BASE_GRAL[ID_INDIVIDUAL]=G6, ROW(BASE_GRAL[ID_INDIVIDUAL])-MIN(ROW(BASE_GRAL[ID_INDIVIDUAL]))+1)))</f>
        <v>ADJUDICADA</v>
      </c>
      <c r="V6" t="str" cm="1">
        <f t="array" ref="V6">INDEX(BASE_GRAL[Proceso '[AÑO + DECRETO']], MAX(IF(BASE_GRAL[ID_INDIVIDUAL]=G6, ROW(BASE_GRAL[ID_INDIVIDUAL])-MIN(ROW(BASE_GRAL[ID_INDIVIDUAL]))+1)))</f>
        <v>1_PROCESO_OA_17</v>
      </c>
    </row>
    <row r="7" spans="1:22" x14ac:dyDescent="0.25">
      <c r="A7">
        <v>6</v>
      </c>
      <c r="B7">
        <v>2017</v>
      </c>
      <c r="C7">
        <v>418</v>
      </c>
      <c r="D7" s="6">
        <v>42920</v>
      </c>
      <c r="E7">
        <v>14</v>
      </c>
      <c r="F7" t="s">
        <v>28</v>
      </c>
      <c r="G7" t="s">
        <v>1119</v>
      </c>
      <c r="H7" t="s">
        <v>29</v>
      </c>
      <c r="I7" t="str">
        <f>Tabla6[[#This Row],[DECRETO]]&amp;" - "&amp;Tabla6[[#This Row],[Nombre Obra]]</f>
        <v>418 - Ampliación en S/E Copayapu</v>
      </c>
      <c r="J7" t="s">
        <v>154</v>
      </c>
      <c r="L7" t="s">
        <v>17</v>
      </c>
      <c r="M7" t="s">
        <v>18</v>
      </c>
      <c r="N7">
        <v>24</v>
      </c>
      <c r="O7" s="160">
        <v>43800</v>
      </c>
      <c r="P7">
        <v>433100</v>
      </c>
      <c r="Q7">
        <v>68700</v>
      </c>
      <c r="R7">
        <v>501800</v>
      </c>
      <c r="S7" t="s">
        <v>27</v>
      </c>
      <c r="T7" t="str" cm="1">
        <f t="array" ref="T7">INDEX(BASE_GRAL[ESTADO 1], MAX(IF(BASE_GRAL[ID_INDIVIDUAL]=G7, ROW(BASE_GRAL[ID_INDIVIDUAL])-MIN(ROW(BASE_GRAL[ID_INDIVIDUAL]))+1)))</f>
        <v>LICITADA</v>
      </c>
      <c r="U7" t="str" cm="1">
        <f t="array" ref="U7">INDEX(BASE_GRAL[ESTADO 2], MAX(IF(BASE_GRAL[ID_INDIVIDUAL]=G7, ROW(BASE_GRAL[ID_INDIVIDUAL])-MIN(ROW(BASE_GRAL[ID_INDIVIDUAL]))+1)))</f>
        <v>ADJUDICADA</v>
      </c>
      <c r="V7" t="str" cm="1">
        <f t="array" ref="V7">INDEX(BASE_GRAL[Proceso '[AÑO + DECRETO']], MAX(IF(BASE_GRAL[ID_INDIVIDUAL]=G7, ROW(BASE_GRAL[ID_INDIVIDUAL])-MIN(ROW(BASE_GRAL[ID_INDIVIDUAL]))+1)))</f>
        <v>1_PROCESO_OA_17</v>
      </c>
    </row>
    <row r="8" spans="1:22" x14ac:dyDescent="0.25">
      <c r="A8">
        <v>7</v>
      </c>
      <c r="B8">
        <v>2017</v>
      </c>
      <c r="C8">
        <v>418</v>
      </c>
      <c r="D8" s="6">
        <v>42920</v>
      </c>
      <c r="E8">
        <v>14</v>
      </c>
      <c r="F8" t="s">
        <v>28</v>
      </c>
      <c r="G8" t="s">
        <v>1120</v>
      </c>
      <c r="H8" t="s">
        <v>30</v>
      </c>
      <c r="I8" t="str">
        <f>Tabla6[[#This Row],[DECRETO]]&amp;" - "&amp;Tabla6[[#This Row],[Nombre Obra]]</f>
        <v>418 - Ampliación en S/E San Joaquín</v>
      </c>
      <c r="J8" t="s">
        <v>154</v>
      </c>
      <c r="L8" t="s">
        <v>17</v>
      </c>
      <c r="M8" t="s">
        <v>18</v>
      </c>
      <c r="N8">
        <v>24</v>
      </c>
      <c r="O8" s="160">
        <v>43800</v>
      </c>
      <c r="P8">
        <v>430100</v>
      </c>
      <c r="Q8">
        <v>68200</v>
      </c>
      <c r="R8">
        <v>498300</v>
      </c>
      <c r="S8" t="s">
        <v>27</v>
      </c>
      <c r="T8" t="str" cm="1">
        <f t="array" ref="T8">INDEX(BASE_GRAL[ESTADO 1], MAX(IF(BASE_GRAL[ID_INDIVIDUAL]=G8, ROW(BASE_GRAL[ID_INDIVIDUAL])-MIN(ROW(BASE_GRAL[ID_INDIVIDUAL]))+1)))</f>
        <v>LICITADA</v>
      </c>
      <c r="U8" t="str" cm="1">
        <f t="array" ref="U8">INDEX(BASE_GRAL[ESTADO 2], MAX(IF(BASE_GRAL[ID_INDIVIDUAL]=G8, ROW(BASE_GRAL[ID_INDIVIDUAL])-MIN(ROW(BASE_GRAL[ID_INDIVIDUAL]))+1)))</f>
        <v>ADJUDICADA</v>
      </c>
      <c r="V8" t="str" cm="1">
        <f t="array" ref="V8">INDEX(BASE_GRAL[Proceso '[AÑO + DECRETO']], MAX(IF(BASE_GRAL[ID_INDIVIDUAL]=G8, ROW(BASE_GRAL[ID_INDIVIDUAL])-MIN(ROW(BASE_GRAL[ID_INDIVIDUAL]))+1)))</f>
        <v>1_PROCESO_OA_17</v>
      </c>
    </row>
    <row r="9" spans="1:22" x14ac:dyDescent="0.25">
      <c r="A9">
        <v>8</v>
      </c>
      <c r="B9">
        <v>2017</v>
      </c>
      <c r="C9">
        <v>418</v>
      </c>
      <c r="D9" s="6">
        <v>42920</v>
      </c>
      <c r="E9">
        <v>14</v>
      </c>
      <c r="F9" t="s">
        <v>28</v>
      </c>
      <c r="G9" t="s">
        <v>1121</v>
      </c>
      <c r="H9" t="s">
        <v>31</v>
      </c>
      <c r="I9" t="str">
        <f>Tabla6[[#This Row],[DECRETO]]&amp;" - "&amp;Tabla6[[#This Row],[Nombre Obra]]</f>
        <v>418 - Ampliación en S/E Combarbalá</v>
      </c>
      <c r="J9" t="s">
        <v>154</v>
      </c>
      <c r="L9" t="s">
        <v>17</v>
      </c>
      <c r="M9" t="s">
        <v>18</v>
      </c>
      <c r="N9">
        <v>18</v>
      </c>
      <c r="O9" s="160">
        <v>43617</v>
      </c>
      <c r="P9">
        <v>130100</v>
      </c>
      <c r="Q9">
        <v>20600</v>
      </c>
      <c r="R9">
        <v>150700</v>
      </c>
      <c r="S9" t="s">
        <v>27</v>
      </c>
      <c r="T9" t="str" cm="1">
        <f t="array" ref="T9">INDEX(BASE_GRAL[ESTADO 1], MAX(IF(BASE_GRAL[ID_INDIVIDUAL]=G9, ROW(BASE_GRAL[ID_INDIVIDUAL])-MIN(ROW(BASE_GRAL[ID_INDIVIDUAL]))+1)))</f>
        <v>LICITADA</v>
      </c>
      <c r="U9" t="str" cm="1">
        <f t="array" ref="U9">INDEX(BASE_GRAL[ESTADO 2], MAX(IF(BASE_GRAL[ID_INDIVIDUAL]=G9, ROW(BASE_GRAL[ID_INDIVIDUAL])-MIN(ROW(BASE_GRAL[ID_INDIVIDUAL]))+1)))</f>
        <v>ADJUDICADA</v>
      </c>
      <c r="V9" t="str" cm="1">
        <f t="array" ref="V9">INDEX(BASE_GRAL[Proceso '[AÑO + DECRETO']], MAX(IF(BASE_GRAL[ID_INDIVIDUAL]=G9, ROW(BASE_GRAL[ID_INDIVIDUAL])-MIN(ROW(BASE_GRAL[ID_INDIVIDUAL]))+1)))</f>
        <v>1_PROCESO_OA_17</v>
      </c>
    </row>
    <row r="10" spans="1:22" x14ac:dyDescent="0.25">
      <c r="A10">
        <v>9</v>
      </c>
      <c r="B10">
        <v>2017</v>
      </c>
      <c r="C10">
        <v>418</v>
      </c>
      <c r="D10" s="6">
        <v>42920</v>
      </c>
      <c r="E10">
        <v>14</v>
      </c>
      <c r="F10" t="s">
        <v>28</v>
      </c>
      <c r="G10" t="s">
        <v>1122</v>
      </c>
      <c r="H10" t="s">
        <v>32</v>
      </c>
      <c r="I10" t="str">
        <f>Tabla6[[#This Row],[DECRETO]]&amp;" - "&amp;Tabla6[[#This Row],[Nombre Obra]]</f>
        <v>418 - Aumento de capacidad de línea 1x110kV Maitencillo - Algarrobo</v>
      </c>
      <c r="J10" t="s">
        <v>154</v>
      </c>
      <c r="L10" t="s">
        <v>17</v>
      </c>
      <c r="M10" t="s">
        <v>33</v>
      </c>
      <c r="N10">
        <v>24</v>
      </c>
      <c r="O10" s="160">
        <v>43800</v>
      </c>
      <c r="P10">
        <v>162200</v>
      </c>
      <c r="Q10">
        <v>25700</v>
      </c>
      <c r="R10">
        <v>187900</v>
      </c>
      <c r="S10" t="s">
        <v>34</v>
      </c>
      <c r="T10" t="str" cm="1">
        <f t="array" ref="T10">INDEX(BASE_GRAL[ESTADO 1], MAX(IF(BASE_GRAL[ID_INDIVIDUAL]=G10, ROW(BASE_GRAL[ID_INDIVIDUAL])-MIN(ROW(BASE_GRAL[ID_INDIVIDUAL]))+1)))</f>
        <v>LICITADA</v>
      </c>
      <c r="U10" t="str" cm="1">
        <f t="array" ref="U10">INDEX(BASE_GRAL[ESTADO 2], MAX(IF(BASE_GRAL[ID_INDIVIDUAL]=G10, ROW(BASE_GRAL[ID_INDIVIDUAL])-MIN(ROW(BASE_GRAL[ID_INDIVIDUAL]))+1)))</f>
        <v>ADJUDICADA</v>
      </c>
      <c r="V10" t="str" cm="1">
        <f t="array" ref="V10">INDEX(BASE_GRAL[Proceso '[AÑO + DECRETO']], MAX(IF(BASE_GRAL[ID_INDIVIDUAL]=G10, ROW(BASE_GRAL[ID_INDIVIDUAL])-MIN(ROW(BASE_GRAL[ID_INDIVIDUAL]))+1)))</f>
        <v>1_PROCESO_OA_17</v>
      </c>
    </row>
    <row r="11" spans="1:22" x14ac:dyDescent="0.25">
      <c r="A11">
        <v>10</v>
      </c>
      <c r="B11">
        <v>2017</v>
      </c>
      <c r="C11">
        <v>418</v>
      </c>
      <c r="D11" s="6">
        <v>42920</v>
      </c>
      <c r="E11">
        <v>15</v>
      </c>
      <c r="F11" t="s">
        <v>40</v>
      </c>
      <c r="G11" t="s">
        <v>1123</v>
      </c>
      <c r="H11" t="s">
        <v>16</v>
      </c>
      <c r="I11" t="str">
        <f>Tabla6[[#This Row],[DECRETO]]&amp;" - "&amp;Tabla6[[#This Row],[Nombre Obra]]</f>
        <v xml:space="preserve">418 - Doble Barra Tap Algarrobo </v>
      </c>
      <c r="J11" t="s">
        <v>154</v>
      </c>
      <c r="L11" t="s">
        <v>17</v>
      </c>
      <c r="M11" t="s">
        <v>18</v>
      </c>
      <c r="N11">
        <v>24</v>
      </c>
      <c r="O11" s="160">
        <v>43800</v>
      </c>
      <c r="P11">
        <v>605800</v>
      </c>
      <c r="Q11">
        <v>96100</v>
      </c>
      <c r="R11">
        <v>701900</v>
      </c>
      <c r="S11" t="s">
        <v>58</v>
      </c>
      <c r="T11" t="str" cm="1">
        <f t="array" ref="T11">INDEX(BASE_GRAL[ESTADO 1], MAX(IF(BASE_GRAL[ID_INDIVIDUAL]=G11, ROW(BASE_GRAL[ID_INDIVIDUAL])-MIN(ROW(BASE_GRAL[ID_INDIVIDUAL]))+1)))</f>
        <v>LICITADA</v>
      </c>
      <c r="U11" t="str" cm="1">
        <f t="array" ref="U11">INDEX(BASE_GRAL[ESTADO 2], MAX(IF(BASE_GRAL[ID_INDIVIDUAL]=G11, ROW(BASE_GRAL[ID_INDIVIDUAL])-MIN(ROW(BASE_GRAL[ID_INDIVIDUAL]))+1)))</f>
        <v>ADJUDICADA</v>
      </c>
      <c r="V11" t="str" cm="1">
        <f t="array" ref="V11">INDEX(BASE_GRAL[Proceso '[AÑO + DECRETO']], MAX(IF(BASE_GRAL[ID_INDIVIDUAL]=G11, ROW(BASE_GRAL[ID_INDIVIDUAL])-MIN(ROW(BASE_GRAL[ID_INDIVIDUAL]))+1)))</f>
        <v>1_PROCESO_OA_17</v>
      </c>
    </row>
    <row r="12" spans="1:22" x14ac:dyDescent="0.25">
      <c r="A12">
        <v>11</v>
      </c>
      <c r="B12">
        <v>2017</v>
      </c>
      <c r="C12">
        <v>418</v>
      </c>
      <c r="D12" s="6">
        <v>42920</v>
      </c>
      <c r="E12">
        <v>15</v>
      </c>
      <c r="F12" t="s">
        <v>40</v>
      </c>
      <c r="G12" t="s">
        <v>1124</v>
      </c>
      <c r="H12" t="s">
        <v>38</v>
      </c>
      <c r="I12" t="str">
        <f>Tabla6[[#This Row],[DECRETO]]&amp;" - "&amp;Tabla6[[#This Row],[Nombre Obra]]</f>
        <v>418 - Ampliación en S/E Agua Santa</v>
      </c>
      <c r="J12" t="s">
        <v>154</v>
      </c>
      <c r="L12" t="s">
        <v>17</v>
      </c>
      <c r="M12" t="s">
        <v>18</v>
      </c>
      <c r="N12">
        <v>24</v>
      </c>
      <c r="O12" s="160">
        <v>43800</v>
      </c>
      <c r="P12">
        <v>971500</v>
      </c>
      <c r="Q12">
        <v>154100</v>
      </c>
      <c r="R12">
        <v>1125600</v>
      </c>
      <c r="S12" t="s">
        <v>58</v>
      </c>
      <c r="T12" t="str" cm="1">
        <f t="array" ref="T12">INDEX(BASE_GRAL[ESTADO 1], MAX(IF(BASE_GRAL[ID_INDIVIDUAL]=G12, ROW(BASE_GRAL[ID_INDIVIDUAL])-MIN(ROW(BASE_GRAL[ID_INDIVIDUAL]))+1)))</f>
        <v>LICITADA</v>
      </c>
      <c r="U12" t="str" cm="1">
        <f t="array" ref="U12">INDEX(BASE_GRAL[ESTADO 2], MAX(IF(BASE_GRAL[ID_INDIVIDUAL]=G12, ROW(BASE_GRAL[ID_INDIVIDUAL])-MIN(ROW(BASE_GRAL[ID_INDIVIDUAL]))+1)))</f>
        <v>ADJUDICADA</v>
      </c>
      <c r="V12" t="str" cm="1">
        <f t="array" ref="V12">INDEX(BASE_GRAL[Proceso '[AÑO + DECRETO']], MAX(IF(BASE_GRAL[ID_INDIVIDUAL]=G12, ROW(BASE_GRAL[ID_INDIVIDUAL])-MIN(ROW(BASE_GRAL[ID_INDIVIDUAL]))+1)))</f>
        <v>1_PROCESO_OA_17</v>
      </c>
    </row>
    <row r="13" spans="1:22" x14ac:dyDescent="0.25">
      <c r="A13">
        <v>12</v>
      </c>
      <c r="B13">
        <v>2017</v>
      </c>
      <c r="C13">
        <v>418</v>
      </c>
      <c r="D13" s="6">
        <v>42920</v>
      </c>
      <c r="E13">
        <v>15</v>
      </c>
      <c r="F13" t="s">
        <v>40</v>
      </c>
      <c r="G13" t="s">
        <v>1125</v>
      </c>
      <c r="H13" t="s">
        <v>36</v>
      </c>
      <c r="I13" t="str">
        <f>Tabla6[[#This Row],[DECRETO]]&amp;" - "&amp;Tabla6[[#This Row],[Nombre Obra]]</f>
        <v>418 - Ampliación en S/E Bosquemar</v>
      </c>
      <c r="J13" t="s">
        <v>154</v>
      </c>
      <c r="L13" t="s">
        <v>17</v>
      </c>
      <c r="M13" t="s">
        <v>18</v>
      </c>
      <c r="N13">
        <v>18</v>
      </c>
      <c r="O13" s="160">
        <v>43617</v>
      </c>
      <c r="P13">
        <v>201800</v>
      </c>
      <c r="Q13">
        <v>32000</v>
      </c>
      <c r="R13">
        <v>233800</v>
      </c>
      <c r="S13" t="s">
        <v>58</v>
      </c>
      <c r="T13" t="str" cm="1">
        <f t="array" ref="T13">INDEX(BASE_GRAL[ESTADO 1], MAX(IF(BASE_GRAL[ID_INDIVIDUAL]=G13, ROW(BASE_GRAL[ID_INDIVIDUAL])-MIN(ROW(BASE_GRAL[ID_INDIVIDUAL]))+1)))</f>
        <v>LICITADA</v>
      </c>
      <c r="U13" t="str" cm="1">
        <f t="array" ref="U13">INDEX(BASE_GRAL[ESTADO 2], MAX(IF(BASE_GRAL[ID_INDIVIDUAL]=G13, ROW(BASE_GRAL[ID_INDIVIDUAL])-MIN(ROW(BASE_GRAL[ID_INDIVIDUAL]))+1)))</f>
        <v>ADJUDICADA</v>
      </c>
      <c r="V13" t="str" cm="1">
        <f t="array" ref="V13">INDEX(BASE_GRAL[Proceso '[AÑO + DECRETO']], MAX(IF(BASE_GRAL[ID_INDIVIDUAL]=G13, ROW(BASE_GRAL[ID_INDIVIDUAL])-MIN(ROW(BASE_GRAL[ID_INDIVIDUAL]))+1)))</f>
        <v>1_PROCESO_OA_17</v>
      </c>
    </row>
    <row r="14" spans="1:22" x14ac:dyDescent="0.25">
      <c r="A14">
        <v>13</v>
      </c>
      <c r="B14">
        <v>2017</v>
      </c>
      <c r="C14">
        <v>418</v>
      </c>
      <c r="D14" s="6">
        <v>42920</v>
      </c>
      <c r="E14">
        <v>15</v>
      </c>
      <c r="F14" t="s">
        <v>40</v>
      </c>
      <c r="G14" t="s">
        <v>1126</v>
      </c>
      <c r="H14" t="s">
        <v>37</v>
      </c>
      <c r="I14" t="str">
        <f>Tabla6[[#This Row],[DECRETO]]&amp;" - "&amp;Tabla6[[#This Row],[Nombre Obra]]</f>
        <v xml:space="preserve">418 - Ampliación en S/E Placilla </v>
      </c>
      <c r="J14" t="s">
        <v>154</v>
      </c>
      <c r="L14" t="s">
        <v>17</v>
      </c>
      <c r="M14" t="s">
        <v>18</v>
      </c>
      <c r="N14">
        <v>18</v>
      </c>
      <c r="O14" s="160">
        <v>43617</v>
      </c>
      <c r="P14">
        <v>183000</v>
      </c>
      <c r="Q14">
        <v>29000</v>
      </c>
      <c r="R14">
        <v>212000</v>
      </c>
      <c r="S14" t="s">
        <v>58</v>
      </c>
      <c r="T14" t="str" cm="1">
        <f t="array" ref="T14">INDEX(BASE_GRAL[ESTADO 1], MAX(IF(BASE_GRAL[ID_INDIVIDUAL]=G14, ROW(BASE_GRAL[ID_INDIVIDUAL])-MIN(ROW(BASE_GRAL[ID_INDIVIDUAL]))+1)))</f>
        <v>LICITADA</v>
      </c>
      <c r="U14" t="str" cm="1">
        <f t="array" ref="U14">INDEX(BASE_GRAL[ESTADO 2], MAX(IF(BASE_GRAL[ID_INDIVIDUAL]=G14, ROW(BASE_GRAL[ID_INDIVIDUAL])-MIN(ROW(BASE_GRAL[ID_INDIVIDUAL]))+1)))</f>
        <v>ADJUDICADA</v>
      </c>
      <c r="V14" t="str" cm="1">
        <f t="array" ref="V14">INDEX(BASE_GRAL[Proceso '[AÑO + DECRETO']], MAX(IF(BASE_GRAL[ID_INDIVIDUAL]=G14, ROW(BASE_GRAL[ID_INDIVIDUAL])-MIN(ROW(BASE_GRAL[ID_INDIVIDUAL]))+1)))</f>
        <v>1_PROCESO_OA_17</v>
      </c>
    </row>
    <row r="15" spans="1:22" x14ac:dyDescent="0.25">
      <c r="A15">
        <v>14</v>
      </c>
      <c r="B15">
        <v>2017</v>
      </c>
      <c r="C15">
        <v>418</v>
      </c>
      <c r="D15" s="6">
        <v>42920</v>
      </c>
      <c r="E15">
        <v>15</v>
      </c>
      <c r="F15" t="s">
        <v>40</v>
      </c>
      <c r="G15" t="s">
        <v>1127</v>
      </c>
      <c r="H15" t="s">
        <v>42</v>
      </c>
      <c r="I15" t="str">
        <f>Tabla6[[#This Row],[DECRETO]]&amp;" - "&amp;Tabla6[[#This Row],[Nombre Obra]]</f>
        <v>418 - Ampliación en S/E San Antonio</v>
      </c>
      <c r="J15" t="s">
        <v>154</v>
      </c>
      <c r="L15" t="s">
        <v>17</v>
      </c>
      <c r="M15" t="s">
        <v>18</v>
      </c>
      <c r="N15">
        <v>18</v>
      </c>
      <c r="O15" s="160">
        <v>43617</v>
      </c>
      <c r="P15">
        <v>251900</v>
      </c>
      <c r="Q15">
        <v>40000</v>
      </c>
      <c r="R15">
        <v>291900</v>
      </c>
      <c r="S15" t="s">
        <v>58</v>
      </c>
      <c r="T15" t="str" cm="1">
        <f t="array" ref="T15">INDEX(BASE_GRAL[ESTADO 1], MAX(IF(BASE_GRAL[ID_INDIVIDUAL]=G15, ROW(BASE_GRAL[ID_INDIVIDUAL])-MIN(ROW(BASE_GRAL[ID_INDIVIDUAL]))+1)))</f>
        <v>LICITADA</v>
      </c>
      <c r="U15" t="str" cm="1">
        <f t="array" ref="U15">INDEX(BASE_GRAL[ESTADO 2], MAX(IF(BASE_GRAL[ID_INDIVIDUAL]=G15, ROW(BASE_GRAL[ID_INDIVIDUAL])-MIN(ROW(BASE_GRAL[ID_INDIVIDUAL]))+1)))</f>
        <v>ADJUDICADA</v>
      </c>
      <c r="V15" t="str" cm="1">
        <f t="array" ref="V15">INDEX(BASE_GRAL[Proceso '[AÑO + DECRETO']], MAX(IF(BASE_GRAL[ID_INDIVIDUAL]=G15, ROW(BASE_GRAL[ID_INDIVIDUAL])-MIN(ROW(BASE_GRAL[ID_INDIVIDUAL]))+1)))</f>
        <v>1_PROCESO_OA_17</v>
      </c>
    </row>
    <row r="16" spans="1:22" x14ac:dyDescent="0.25">
      <c r="A16">
        <v>15</v>
      </c>
      <c r="B16">
        <v>2017</v>
      </c>
      <c r="C16">
        <v>418</v>
      </c>
      <c r="D16" s="6">
        <v>42920</v>
      </c>
      <c r="E16">
        <v>17</v>
      </c>
      <c r="F16" t="s">
        <v>59</v>
      </c>
      <c r="G16" t="s">
        <v>1128</v>
      </c>
      <c r="H16" t="s">
        <v>845</v>
      </c>
      <c r="I16" t="str">
        <f>Tabla6[[#This Row],[DECRETO]]&amp;" - "&amp;Tabla6[[#This Row],[Nombre Obra]]</f>
        <v>418 - Ampliación en S/E Alto Melipilla</v>
      </c>
      <c r="J16" t="s">
        <v>154</v>
      </c>
      <c r="L16" t="s">
        <v>17</v>
      </c>
      <c r="M16" t="s">
        <v>18</v>
      </c>
      <c r="N16">
        <v>36</v>
      </c>
      <c r="O16" s="160">
        <v>44166</v>
      </c>
      <c r="P16">
        <v>1010600</v>
      </c>
      <c r="Q16">
        <v>160300</v>
      </c>
      <c r="R16">
        <v>1170900</v>
      </c>
      <c r="S16" t="s">
        <v>58</v>
      </c>
      <c r="T16" t="str" cm="1">
        <f t="array" ref="T16">INDEX(BASE_GRAL[ESTADO 1], MAX(IF(BASE_GRAL[ID_INDIVIDUAL]=G16, ROW(BASE_GRAL[ID_INDIVIDUAL])-MIN(ROW(BASE_GRAL[ID_INDIVIDUAL]))+1)))</f>
        <v>LICITADA</v>
      </c>
      <c r="U16" t="str" cm="1">
        <f t="array" ref="U16">INDEX(BASE_GRAL[ESTADO 2], MAX(IF(BASE_GRAL[ID_INDIVIDUAL]=G16, ROW(BASE_GRAL[ID_INDIVIDUAL])-MIN(ROW(BASE_GRAL[ID_INDIVIDUAL]))+1)))</f>
        <v>ADJUDICADA</v>
      </c>
      <c r="V16" t="str" cm="1">
        <f t="array" ref="V16">INDEX(BASE_GRAL[Proceso '[AÑO + DECRETO']], MAX(IF(BASE_GRAL[ID_INDIVIDUAL]=G16, ROW(BASE_GRAL[ID_INDIVIDUAL])-MIN(ROW(BASE_GRAL[ID_INDIVIDUAL]))+1)))</f>
        <v>1_PROCESO_OA_17</v>
      </c>
    </row>
    <row r="17" spans="1:22" x14ac:dyDescent="0.25">
      <c r="A17">
        <v>16</v>
      </c>
      <c r="B17">
        <v>2017</v>
      </c>
      <c r="C17">
        <v>418</v>
      </c>
      <c r="D17" s="6">
        <v>42920</v>
      </c>
      <c r="E17">
        <v>17</v>
      </c>
      <c r="F17" t="s">
        <v>59</v>
      </c>
      <c r="G17" t="s">
        <v>1129</v>
      </c>
      <c r="H17" t="s">
        <v>1181</v>
      </c>
      <c r="I17" t="str">
        <f>Tabla6[[#This Row],[DECRETO]]&amp;" - "&amp;Tabla6[[#This Row],[Nombre Obra]]</f>
        <v>418 - Aumento de capacidad de transmisión en línea 1x66KV El Maitén - El Paico - El Monte</v>
      </c>
      <c r="J17" t="s">
        <v>154</v>
      </c>
      <c r="L17" t="s">
        <v>17</v>
      </c>
      <c r="M17" t="s">
        <v>18</v>
      </c>
      <c r="N17">
        <v>24</v>
      </c>
      <c r="O17" s="160">
        <v>43800</v>
      </c>
      <c r="P17">
        <v>341700</v>
      </c>
      <c r="Q17">
        <v>54200</v>
      </c>
      <c r="R17">
        <v>395900</v>
      </c>
      <c r="S17" t="s">
        <v>27</v>
      </c>
      <c r="T17" t="str" cm="1">
        <f t="array" ref="T17">INDEX(BASE_GRAL[ESTADO 1], MAX(IF(BASE_GRAL[ID_INDIVIDUAL]=G17, ROW(BASE_GRAL[ID_INDIVIDUAL])-MIN(ROW(BASE_GRAL[ID_INDIVIDUAL]))+1)))</f>
        <v>LICITADA</v>
      </c>
      <c r="U17" t="str" cm="1">
        <f t="array" ref="U17">INDEX(BASE_GRAL[ESTADO 2], MAX(IF(BASE_GRAL[ID_INDIVIDUAL]=G17, ROW(BASE_GRAL[ID_INDIVIDUAL])-MIN(ROW(BASE_GRAL[ID_INDIVIDUAL]))+1)))</f>
        <v>DESIERTA - POR VMAX</v>
      </c>
      <c r="V17" t="str" cm="1">
        <f t="array" ref="V17">INDEX(BASE_GRAL[Proceso '[AÑO + DECRETO']], MAX(IF(BASE_GRAL[ID_INDIVIDUAL]=G17, ROW(BASE_GRAL[ID_INDIVIDUAL])-MIN(ROW(BASE_GRAL[ID_INDIVIDUAL]))+1)))</f>
        <v>2_PROCESO_OA_18</v>
      </c>
    </row>
    <row r="18" spans="1:22" x14ac:dyDescent="0.25">
      <c r="A18">
        <v>17</v>
      </c>
      <c r="B18">
        <v>2017</v>
      </c>
      <c r="C18">
        <v>418</v>
      </c>
      <c r="D18" s="6">
        <v>42920</v>
      </c>
      <c r="E18">
        <v>15</v>
      </c>
      <c r="F18" t="s">
        <v>40</v>
      </c>
      <c r="G18" t="s">
        <v>1130</v>
      </c>
      <c r="H18" t="s">
        <v>35</v>
      </c>
      <c r="I18" t="str">
        <f>Tabla6[[#This Row],[DECRETO]]&amp;" - "&amp;Tabla6[[#This Row],[Nombre Obra]]</f>
        <v>418 - Ampliación en S/E Catemu</v>
      </c>
      <c r="J18" t="s">
        <v>154</v>
      </c>
      <c r="L18" t="s">
        <v>17</v>
      </c>
      <c r="M18" t="s">
        <v>18</v>
      </c>
      <c r="N18">
        <v>18</v>
      </c>
      <c r="O18" s="160">
        <v>43617</v>
      </c>
      <c r="P18">
        <v>92200</v>
      </c>
      <c r="Q18">
        <v>14600</v>
      </c>
      <c r="R18">
        <v>106800</v>
      </c>
      <c r="S18" t="s">
        <v>58</v>
      </c>
      <c r="T18" t="str" cm="1">
        <f t="array" ref="T18">INDEX(BASE_GRAL[ESTADO 1], MAX(IF(BASE_GRAL[ID_INDIVIDUAL]=G18, ROW(BASE_GRAL[ID_INDIVIDUAL])-MIN(ROW(BASE_GRAL[ID_INDIVIDUAL]))+1)))</f>
        <v>LICITADA</v>
      </c>
      <c r="U18" t="str" cm="1">
        <f t="array" ref="U18">INDEX(BASE_GRAL[ESTADO 2], MAX(IF(BASE_GRAL[ID_INDIVIDUAL]=G18, ROW(BASE_GRAL[ID_INDIVIDUAL])-MIN(ROW(BASE_GRAL[ID_INDIVIDUAL]))+1)))</f>
        <v>DESIERTA - POR VMAX</v>
      </c>
      <c r="V18" t="str" cm="1">
        <f t="array" ref="V18">INDEX(BASE_GRAL[Proceso '[AÑO + DECRETO']], MAX(IF(BASE_GRAL[ID_INDIVIDUAL]=G18, ROW(BASE_GRAL[ID_INDIVIDUAL])-MIN(ROW(BASE_GRAL[ID_INDIVIDUAL]))+1)))</f>
        <v>2_PROCESO_OA_18</v>
      </c>
    </row>
    <row r="19" spans="1:22" x14ac:dyDescent="0.25">
      <c r="A19">
        <v>18</v>
      </c>
      <c r="B19">
        <v>2017</v>
      </c>
      <c r="C19">
        <v>418</v>
      </c>
      <c r="D19" s="6">
        <v>42920</v>
      </c>
      <c r="E19">
        <v>15</v>
      </c>
      <c r="F19" t="s">
        <v>40</v>
      </c>
      <c r="G19" t="s">
        <v>1131</v>
      </c>
      <c r="H19" t="s">
        <v>41</v>
      </c>
      <c r="I19" t="str">
        <f>Tabla6[[#This Row],[DECRETO]]&amp;" - "&amp;Tabla6[[#This Row],[Nombre Obra]]</f>
        <v>418 - Ampliación en S/E Río Blanco</v>
      </c>
      <c r="J19" t="s">
        <v>154</v>
      </c>
      <c r="L19" t="s">
        <v>17</v>
      </c>
      <c r="M19" t="s">
        <v>18</v>
      </c>
      <c r="N19">
        <v>18</v>
      </c>
      <c r="O19" s="160">
        <v>43617</v>
      </c>
      <c r="P19">
        <v>25500</v>
      </c>
      <c r="Q19">
        <v>4000</v>
      </c>
      <c r="R19">
        <v>29500</v>
      </c>
      <c r="S19" t="s">
        <v>58</v>
      </c>
      <c r="T19" t="str" cm="1">
        <f t="array" ref="T19">INDEX(BASE_GRAL[ESTADO 1], MAX(IF(BASE_GRAL[ID_INDIVIDUAL]=G19, ROW(BASE_GRAL[ID_INDIVIDUAL])-MIN(ROW(BASE_GRAL[ID_INDIVIDUAL]))+1)))</f>
        <v>LICITADA</v>
      </c>
      <c r="U19" t="str" cm="1">
        <f t="array" ref="U19">INDEX(BASE_GRAL[ESTADO 2], MAX(IF(BASE_GRAL[ID_INDIVIDUAL]=G19, ROW(BASE_GRAL[ID_INDIVIDUAL])-MIN(ROW(BASE_GRAL[ID_INDIVIDUAL]))+1)))</f>
        <v>DESIERTA - POR VMAX</v>
      </c>
      <c r="V19" t="str" cm="1">
        <f t="array" ref="V19">INDEX(BASE_GRAL[Proceso '[AÑO + DECRETO']], MAX(IF(BASE_GRAL[ID_INDIVIDUAL]=G19, ROW(BASE_GRAL[ID_INDIVIDUAL])-MIN(ROW(BASE_GRAL[ID_INDIVIDUAL]))+1)))</f>
        <v>2_PROCESO_OA_18</v>
      </c>
    </row>
    <row r="20" spans="1:22" x14ac:dyDescent="0.25">
      <c r="A20">
        <v>19</v>
      </c>
      <c r="B20">
        <v>2017</v>
      </c>
      <c r="C20">
        <v>418</v>
      </c>
      <c r="D20" s="6">
        <v>42920</v>
      </c>
      <c r="E20">
        <v>15</v>
      </c>
      <c r="F20" t="s">
        <v>40</v>
      </c>
      <c r="G20" t="s">
        <v>1132</v>
      </c>
      <c r="H20" t="s">
        <v>39</v>
      </c>
      <c r="I20" t="str">
        <f>Tabla6[[#This Row],[DECRETO]]&amp;" - "&amp;Tabla6[[#This Row],[Nombre Obra]]</f>
        <v>418 - Ampliación en S/E San Felipe</v>
      </c>
      <c r="J20" t="s">
        <v>154</v>
      </c>
      <c r="L20" t="s">
        <v>17</v>
      </c>
      <c r="M20" t="s">
        <v>18</v>
      </c>
      <c r="N20">
        <v>18</v>
      </c>
      <c r="O20" s="160">
        <v>43617</v>
      </c>
      <c r="P20">
        <v>189500</v>
      </c>
      <c r="Q20">
        <v>30100</v>
      </c>
      <c r="R20">
        <v>219600</v>
      </c>
      <c r="S20" t="s">
        <v>58</v>
      </c>
      <c r="T20" t="str" cm="1">
        <f t="array" ref="T20">INDEX(BASE_GRAL[ESTADO 1], MAX(IF(BASE_GRAL[ID_INDIVIDUAL]=G20, ROW(BASE_GRAL[ID_INDIVIDUAL])-MIN(ROW(BASE_GRAL[ID_INDIVIDUAL]))+1)))</f>
        <v>LICITADA</v>
      </c>
      <c r="U20" t="str" cm="1">
        <f t="array" ref="U20">INDEX(BASE_GRAL[ESTADO 2], MAX(IF(BASE_GRAL[ID_INDIVIDUAL]=G20, ROW(BASE_GRAL[ID_INDIVIDUAL])-MIN(ROW(BASE_GRAL[ID_INDIVIDUAL]))+1)))</f>
        <v>DESIERTA - POR VMAX</v>
      </c>
      <c r="V20" t="str" cm="1">
        <f t="array" ref="V20">INDEX(BASE_GRAL[Proceso '[AÑO + DECRETO']], MAX(IF(BASE_GRAL[ID_INDIVIDUAL]=G20, ROW(BASE_GRAL[ID_INDIVIDUAL])-MIN(ROW(BASE_GRAL[ID_INDIVIDUAL]))+1)))</f>
        <v>2_PROCESO_OA_18</v>
      </c>
    </row>
    <row r="21" spans="1:22" x14ac:dyDescent="0.25">
      <c r="A21">
        <v>20</v>
      </c>
      <c r="B21">
        <v>2017</v>
      </c>
      <c r="C21">
        <v>418</v>
      </c>
      <c r="D21" s="6">
        <v>42920</v>
      </c>
      <c r="E21">
        <v>16</v>
      </c>
      <c r="F21" t="s">
        <v>45</v>
      </c>
      <c r="G21" t="s">
        <v>1133</v>
      </c>
      <c r="H21" t="s">
        <v>1182</v>
      </c>
      <c r="I21" t="str">
        <f>Tabla6[[#This Row],[DECRETO]]&amp;" - "&amp;Tabla6[[#This Row],[Nombre Obra]]</f>
        <v>418 - Ampliación en S/E Altamirano</v>
      </c>
      <c r="J21" t="s">
        <v>154</v>
      </c>
      <c r="L21" t="s">
        <v>17</v>
      </c>
      <c r="M21" t="s">
        <v>18</v>
      </c>
      <c r="N21">
        <v>18</v>
      </c>
      <c r="O21" s="160">
        <v>43617</v>
      </c>
      <c r="P21">
        <v>269600</v>
      </c>
      <c r="Q21">
        <v>42800</v>
      </c>
      <c r="R21">
        <v>312400</v>
      </c>
      <c r="S21" t="s">
        <v>55</v>
      </c>
      <c r="T21" t="str" cm="1">
        <f t="array" ref="T21">INDEX(BASE_GRAL[ESTADO 1], MAX(IF(BASE_GRAL[ID_INDIVIDUAL]=G21, ROW(BASE_GRAL[ID_INDIVIDUAL])-MIN(ROW(BASE_GRAL[ID_INDIVIDUAL]))+1)))</f>
        <v>LICITADA</v>
      </c>
      <c r="U21" t="str" cm="1">
        <f t="array" ref="U21">INDEX(BASE_GRAL[ESTADO 2], MAX(IF(BASE_GRAL[ID_INDIVIDUAL]=G21, ROW(BASE_GRAL[ID_INDIVIDUAL])-MIN(ROW(BASE_GRAL[ID_INDIVIDUAL]))+1)))</f>
        <v>ADJUDICADA</v>
      </c>
      <c r="V21" t="str" cm="1">
        <f t="array" ref="V21">INDEX(BASE_GRAL[Proceso '[AÑO + DECRETO']], MAX(IF(BASE_GRAL[ID_INDIVIDUAL]=G21, ROW(BASE_GRAL[ID_INDIVIDUAL])-MIN(ROW(BASE_GRAL[ID_INDIVIDUAL]))+1)))</f>
        <v>1_PROCESO_OA_17</v>
      </c>
    </row>
    <row r="22" spans="1:22" x14ac:dyDescent="0.25">
      <c r="A22">
        <v>21</v>
      </c>
      <c r="B22">
        <v>2017</v>
      </c>
      <c r="C22">
        <v>418</v>
      </c>
      <c r="D22" s="6">
        <v>42920</v>
      </c>
      <c r="E22">
        <v>16</v>
      </c>
      <c r="F22" t="s">
        <v>45</v>
      </c>
      <c r="G22" t="s">
        <v>1134</v>
      </c>
      <c r="H22" t="s">
        <v>1183</v>
      </c>
      <c r="I22" t="str">
        <f>Tabla6[[#This Row],[DECRETO]]&amp;" - "&amp;Tabla6[[#This Row],[Nombre Obra]]</f>
        <v>418 - Ampliación en S/E Macul</v>
      </c>
      <c r="J22" t="s">
        <v>154</v>
      </c>
      <c r="L22" t="s">
        <v>17</v>
      </c>
      <c r="M22" t="s">
        <v>18</v>
      </c>
      <c r="N22">
        <v>18</v>
      </c>
      <c r="O22" s="160">
        <v>43617</v>
      </c>
      <c r="P22">
        <v>201200</v>
      </c>
      <c r="Q22">
        <v>31900</v>
      </c>
      <c r="R22">
        <v>233100</v>
      </c>
      <c r="S22" t="s">
        <v>55</v>
      </c>
      <c r="T22" t="str" cm="1">
        <f t="array" ref="T22">INDEX(BASE_GRAL[ESTADO 1], MAX(IF(BASE_GRAL[ID_INDIVIDUAL]=G22, ROW(BASE_GRAL[ID_INDIVIDUAL])-MIN(ROW(BASE_GRAL[ID_INDIVIDUAL]))+1)))</f>
        <v>LICITADA</v>
      </c>
      <c r="U22" t="str" cm="1">
        <f t="array" ref="U22">INDEX(BASE_GRAL[ESTADO 2], MAX(IF(BASE_GRAL[ID_INDIVIDUAL]=G22, ROW(BASE_GRAL[ID_INDIVIDUAL])-MIN(ROW(BASE_GRAL[ID_INDIVIDUAL]))+1)))</f>
        <v>ADJUDICADA</v>
      </c>
      <c r="V22" t="str" cm="1">
        <f t="array" ref="V22">INDEX(BASE_GRAL[Proceso '[AÑO + DECRETO']], MAX(IF(BASE_GRAL[ID_INDIVIDUAL]=G22, ROW(BASE_GRAL[ID_INDIVIDUAL])-MIN(ROW(BASE_GRAL[ID_INDIVIDUAL]))+1)))</f>
        <v>1_PROCESO_OA_17</v>
      </c>
    </row>
    <row r="23" spans="1:22" x14ac:dyDescent="0.25">
      <c r="A23">
        <v>22</v>
      </c>
      <c r="B23">
        <v>2017</v>
      </c>
      <c r="C23">
        <v>418</v>
      </c>
      <c r="D23" s="6">
        <v>42920</v>
      </c>
      <c r="E23">
        <v>16</v>
      </c>
      <c r="F23" t="s">
        <v>45</v>
      </c>
      <c r="G23" t="s">
        <v>1135</v>
      </c>
      <c r="H23" t="s">
        <v>1184</v>
      </c>
      <c r="I23" t="str">
        <f>Tabla6[[#This Row],[DECRETO]]&amp;" - "&amp;Tabla6[[#This Row],[Nombre Obra]]</f>
        <v>418 - Ampliación en S/E Dehesa</v>
      </c>
      <c r="J23" t="s">
        <v>154</v>
      </c>
      <c r="L23" t="s">
        <v>17</v>
      </c>
      <c r="M23" t="s">
        <v>18</v>
      </c>
      <c r="N23">
        <v>18</v>
      </c>
      <c r="O23" s="160">
        <v>43617</v>
      </c>
      <c r="P23">
        <v>273000</v>
      </c>
      <c r="Q23">
        <v>43300</v>
      </c>
      <c r="R23">
        <v>316300</v>
      </c>
      <c r="S23" t="s">
        <v>55</v>
      </c>
      <c r="T23" t="str" cm="1">
        <f t="array" ref="T23">INDEX(BASE_GRAL[ESTADO 1], MAX(IF(BASE_GRAL[ID_INDIVIDUAL]=G23, ROW(BASE_GRAL[ID_INDIVIDUAL])-MIN(ROW(BASE_GRAL[ID_INDIVIDUAL]))+1)))</f>
        <v>LICITADA</v>
      </c>
      <c r="U23" t="str" cm="1">
        <f t="array" ref="U23">INDEX(BASE_GRAL[ESTADO 2], MAX(IF(BASE_GRAL[ID_INDIVIDUAL]=G23, ROW(BASE_GRAL[ID_INDIVIDUAL])-MIN(ROW(BASE_GRAL[ID_INDIVIDUAL]))+1)))</f>
        <v>ADJUDICADA</v>
      </c>
      <c r="V23" t="str" cm="1">
        <f t="array" ref="V23">INDEX(BASE_GRAL[Proceso '[AÑO + DECRETO']], MAX(IF(BASE_GRAL[ID_INDIVIDUAL]=G23, ROW(BASE_GRAL[ID_INDIVIDUAL])-MIN(ROW(BASE_GRAL[ID_INDIVIDUAL]))+1)))</f>
        <v>1_PROCESO_OA_17</v>
      </c>
    </row>
    <row r="24" spans="1:22" x14ac:dyDescent="0.25">
      <c r="A24">
        <v>23</v>
      </c>
      <c r="B24">
        <v>2017</v>
      </c>
      <c r="C24">
        <v>418</v>
      </c>
      <c r="D24" s="6">
        <v>42920</v>
      </c>
      <c r="E24">
        <v>16</v>
      </c>
      <c r="F24" t="s">
        <v>45</v>
      </c>
      <c r="G24" t="s">
        <v>1136</v>
      </c>
      <c r="H24" t="s">
        <v>1185</v>
      </c>
      <c r="I24" t="str">
        <f>Tabla6[[#This Row],[DECRETO]]&amp;" - "&amp;Tabla6[[#This Row],[Nombre Obra]]</f>
        <v>418 - Seccionamiento en S/E Pirque</v>
      </c>
      <c r="J24" t="s">
        <v>154</v>
      </c>
      <c r="L24" t="s">
        <v>17</v>
      </c>
      <c r="M24" t="s">
        <v>18</v>
      </c>
      <c r="N24">
        <v>18</v>
      </c>
      <c r="O24" s="160">
        <v>43617</v>
      </c>
      <c r="P24">
        <v>152600</v>
      </c>
      <c r="Q24">
        <v>24200</v>
      </c>
      <c r="R24">
        <v>176800</v>
      </c>
      <c r="S24" t="s">
        <v>57</v>
      </c>
      <c r="T24" t="str" cm="1">
        <f t="array" ref="T24">INDEX(BASE_GRAL[ESTADO 1], MAX(IF(BASE_GRAL[ID_INDIVIDUAL]=G24, ROW(BASE_GRAL[ID_INDIVIDUAL])-MIN(ROW(BASE_GRAL[ID_INDIVIDUAL]))+1)))</f>
        <v>LICITADA</v>
      </c>
      <c r="U24" t="str" cm="1">
        <f t="array" ref="U24">INDEX(BASE_GRAL[ESTADO 2], MAX(IF(BASE_GRAL[ID_INDIVIDUAL]=G24, ROW(BASE_GRAL[ID_INDIVIDUAL])-MIN(ROW(BASE_GRAL[ID_INDIVIDUAL]))+1)))</f>
        <v>ADJUDICADA</v>
      </c>
      <c r="V24" t="str" cm="1">
        <f t="array" ref="V24">INDEX(BASE_GRAL[Proceso '[AÑO + DECRETO']], MAX(IF(BASE_GRAL[ID_INDIVIDUAL]=G24, ROW(BASE_GRAL[ID_INDIVIDUAL])-MIN(ROW(BASE_GRAL[ID_INDIVIDUAL]))+1)))</f>
        <v>1_PROCESO_OA_17</v>
      </c>
    </row>
    <row r="25" spans="1:22" x14ac:dyDescent="0.25">
      <c r="A25">
        <v>24</v>
      </c>
      <c r="B25">
        <v>2017</v>
      </c>
      <c r="C25">
        <v>418</v>
      </c>
      <c r="D25" s="6">
        <v>42920</v>
      </c>
      <c r="E25">
        <v>16</v>
      </c>
      <c r="F25" t="s">
        <v>45</v>
      </c>
      <c r="G25" t="s">
        <v>1137</v>
      </c>
      <c r="H25" t="s">
        <v>1186</v>
      </c>
      <c r="I25" t="str">
        <f>Tabla6[[#This Row],[DECRETO]]&amp;" - "&amp;Tabla6[[#This Row],[Nombre Obra]]</f>
        <v>418 - Ampliación en S/E Pirque</v>
      </c>
      <c r="J25" t="s">
        <v>154</v>
      </c>
      <c r="L25" t="s">
        <v>17</v>
      </c>
      <c r="M25" t="s">
        <v>18</v>
      </c>
      <c r="N25">
        <v>18</v>
      </c>
      <c r="O25" s="160">
        <v>43617</v>
      </c>
      <c r="P25">
        <v>208400</v>
      </c>
      <c r="Q25">
        <v>33100</v>
      </c>
      <c r="R25">
        <v>241500</v>
      </c>
      <c r="S25" t="s">
        <v>27</v>
      </c>
      <c r="T25" t="str" cm="1">
        <f t="array" ref="T25">INDEX(BASE_GRAL[ESTADO 1], MAX(IF(BASE_GRAL[ID_INDIVIDUAL]=G25, ROW(BASE_GRAL[ID_INDIVIDUAL])-MIN(ROW(BASE_GRAL[ID_INDIVIDUAL]))+1)))</f>
        <v>LICITADA</v>
      </c>
      <c r="U25" t="str" cm="1">
        <f t="array" ref="U25">INDEX(BASE_GRAL[ESTADO 2], MAX(IF(BASE_GRAL[ID_INDIVIDUAL]=G25, ROW(BASE_GRAL[ID_INDIVIDUAL])-MIN(ROW(BASE_GRAL[ID_INDIVIDUAL]))+1)))</f>
        <v>ADJUDICADA</v>
      </c>
      <c r="V25" t="str" cm="1">
        <f t="array" ref="V25">INDEX(BASE_GRAL[Proceso '[AÑO + DECRETO']], MAX(IF(BASE_GRAL[ID_INDIVIDUAL]=G25, ROW(BASE_GRAL[ID_INDIVIDUAL])-MIN(ROW(BASE_GRAL[ID_INDIVIDUAL]))+1)))</f>
        <v>1_PROCESO_OA_17</v>
      </c>
    </row>
    <row r="26" spans="1:22" x14ac:dyDescent="0.25">
      <c r="A26">
        <v>25</v>
      </c>
      <c r="B26">
        <v>2017</v>
      </c>
      <c r="C26">
        <v>418</v>
      </c>
      <c r="D26" s="6">
        <v>42920</v>
      </c>
      <c r="E26">
        <v>16</v>
      </c>
      <c r="F26" t="s">
        <v>45</v>
      </c>
      <c r="G26" t="s">
        <v>1138</v>
      </c>
      <c r="H26" t="s">
        <v>1187</v>
      </c>
      <c r="I26" t="str">
        <f>Tabla6[[#This Row],[DECRETO]]&amp;" - "&amp;Tabla6[[#This Row],[Nombre Obra]]</f>
        <v>418 - Ampliación en S/E Pudahuel</v>
      </c>
      <c r="J26" t="s">
        <v>154</v>
      </c>
      <c r="L26" t="s">
        <v>17</v>
      </c>
      <c r="M26" t="s">
        <v>18</v>
      </c>
      <c r="N26">
        <v>18</v>
      </c>
      <c r="O26" s="160">
        <v>43617</v>
      </c>
      <c r="P26">
        <v>412700</v>
      </c>
      <c r="Q26">
        <v>65500</v>
      </c>
      <c r="R26">
        <v>478200</v>
      </c>
      <c r="S26" t="s">
        <v>55</v>
      </c>
      <c r="T26" t="str" cm="1">
        <f t="array" ref="T26">INDEX(BASE_GRAL[ESTADO 1], MAX(IF(BASE_GRAL[ID_INDIVIDUAL]=G26, ROW(BASE_GRAL[ID_INDIVIDUAL])-MIN(ROW(BASE_GRAL[ID_INDIVIDUAL]))+1)))</f>
        <v>LICITADA</v>
      </c>
      <c r="U26" t="str" cm="1">
        <f t="array" ref="U26">INDEX(BASE_GRAL[ESTADO 2], MAX(IF(BASE_GRAL[ID_INDIVIDUAL]=G26, ROW(BASE_GRAL[ID_INDIVIDUAL])-MIN(ROW(BASE_GRAL[ID_INDIVIDUAL]))+1)))</f>
        <v>ADJUDICADA</v>
      </c>
      <c r="V26" t="str" cm="1">
        <f t="array" ref="V26">INDEX(BASE_GRAL[Proceso '[AÑO + DECRETO']], MAX(IF(BASE_GRAL[ID_INDIVIDUAL]=G26, ROW(BASE_GRAL[ID_INDIVIDUAL])-MIN(ROW(BASE_GRAL[ID_INDIVIDUAL]))+1)))</f>
        <v>1_PROCESO_OA_17</v>
      </c>
    </row>
    <row r="27" spans="1:22" x14ac:dyDescent="0.25">
      <c r="A27">
        <v>26</v>
      </c>
      <c r="B27">
        <v>2017</v>
      </c>
      <c r="C27">
        <v>418</v>
      </c>
      <c r="D27" s="6">
        <v>42920</v>
      </c>
      <c r="E27">
        <v>16</v>
      </c>
      <c r="F27" t="s">
        <v>45</v>
      </c>
      <c r="G27" t="s">
        <v>1139</v>
      </c>
      <c r="H27" t="s">
        <v>1188</v>
      </c>
      <c r="I27" t="str">
        <f>Tabla6[[#This Row],[DECRETO]]&amp;" - "&amp;Tabla6[[#This Row],[Nombre Obra]]</f>
        <v>418 - Ampliación en S/E Cerro Navia</v>
      </c>
      <c r="J27" t="s">
        <v>154</v>
      </c>
      <c r="L27" t="s">
        <v>17</v>
      </c>
      <c r="M27" t="s">
        <v>18</v>
      </c>
      <c r="N27">
        <v>36</v>
      </c>
      <c r="O27" s="160">
        <v>44166</v>
      </c>
      <c r="P27">
        <v>1347500</v>
      </c>
      <c r="Q27">
        <v>213800</v>
      </c>
      <c r="R27">
        <v>1561300</v>
      </c>
      <c r="S27" t="s">
        <v>55</v>
      </c>
      <c r="T27" t="str" cm="1">
        <f t="array" ref="T27">INDEX(BASE_GRAL[ESTADO 1], MAX(IF(BASE_GRAL[ID_INDIVIDUAL]=G27, ROW(BASE_GRAL[ID_INDIVIDUAL])-MIN(ROW(BASE_GRAL[ID_INDIVIDUAL]))+1)))</f>
        <v>LICITADA</v>
      </c>
      <c r="U27" t="str" cm="1">
        <f t="array" ref="U27">INDEX(BASE_GRAL[ESTADO 2], MAX(IF(BASE_GRAL[ID_INDIVIDUAL]=G27, ROW(BASE_GRAL[ID_INDIVIDUAL])-MIN(ROW(BASE_GRAL[ID_INDIVIDUAL]))+1)))</f>
        <v>ADJUDICADA</v>
      </c>
      <c r="V27" t="str" cm="1">
        <f t="array" ref="V27">INDEX(BASE_GRAL[Proceso '[AÑO + DECRETO']], MAX(IF(BASE_GRAL[ID_INDIVIDUAL]=G27, ROW(BASE_GRAL[ID_INDIVIDUAL])-MIN(ROW(BASE_GRAL[ID_INDIVIDUAL]))+1)))</f>
        <v>1_PROCESO_OA_17</v>
      </c>
    </row>
    <row r="28" spans="1:22" x14ac:dyDescent="0.25">
      <c r="A28">
        <v>27</v>
      </c>
      <c r="B28">
        <v>2017</v>
      </c>
      <c r="C28">
        <v>418</v>
      </c>
      <c r="D28" s="6">
        <v>42920</v>
      </c>
      <c r="E28">
        <v>16</v>
      </c>
      <c r="F28" t="s">
        <v>45</v>
      </c>
      <c r="G28" t="s">
        <v>1140</v>
      </c>
      <c r="H28" t="s">
        <v>52</v>
      </c>
      <c r="I28" t="str">
        <f>Tabla6[[#This Row],[DECRETO]]&amp;" - "&amp;Tabla6[[#This Row],[Nombre Obra]]</f>
        <v>418 - MODIFICACIÓN DE PAÑOS DE CONEXIÓN DE LÍNEA 2x110 KV LAS VEGAS –
CERRO NAVIA EN NUEVO PATIO “GIS” 110 KV S/E CERRO NAVIA 110 KV.</v>
      </c>
      <c r="J28" t="s">
        <v>154</v>
      </c>
      <c r="L28" t="s">
        <v>17</v>
      </c>
      <c r="M28" t="s">
        <v>18</v>
      </c>
      <c r="N28">
        <v>36</v>
      </c>
      <c r="O28" s="160">
        <v>44166</v>
      </c>
      <c r="P28">
        <v>273900</v>
      </c>
      <c r="Q28">
        <v>43500</v>
      </c>
      <c r="R28">
        <v>317400</v>
      </c>
      <c r="S28" t="s">
        <v>56</v>
      </c>
      <c r="T28" t="str" cm="1">
        <f t="array" ref="T28">INDEX(BASE_GRAL[ESTADO 1], MAX(IF(BASE_GRAL[ID_INDIVIDUAL]=G28, ROW(BASE_GRAL[ID_INDIVIDUAL])-MIN(ROW(BASE_GRAL[ID_INDIVIDUAL]))+1)))</f>
        <v>LICITADA</v>
      </c>
      <c r="U28" t="str" cm="1">
        <f t="array" ref="U28">INDEX(BASE_GRAL[ESTADO 2], MAX(IF(BASE_GRAL[ID_INDIVIDUAL]=G28, ROW(BASE_GRAL[ID_INDIVIDUAL])-MIN(ROW(BASE_GRAL[ID_INDIVIDUAL]))+1)))</f>
        <v>ADJUDICADA</v>
      </c>
      <c r="V28" t="str" cm="1">
        <f t="array" ref="V28">INDEX(BASE_GRAL[Proceso '[AÑO + DECRETO']], MAX(IF(BASE_GRAL[ID_INDIVIDUAL]=G28, ROW(BASE_GRAL[ID_INDIVIDUAL])-MIN(ROW(BASE_GRAL[ID_INDIVIDUAL]))+1)))</f>
        <v>1_PROCESO_OA_17</v>
      </c>
    </row>
    <row r="29" spans="1:22" x14ac:dyDescent="0.25">
      <c r="A29">
        <v>28</v>
      </c>
      <c r="B29">
        <v>2017</v>
      </c>
      <c r="C29">
        <v>418</v>
      </c>
      <c r="D29" s="6">
        <v>42920</v>
      </c>
      <c r="E29">
        <v>16</v>
      </c>
      <c r="F29" t="s">
        <v>45</v>
      </c>
      <c r="G29" t="s">
        <v>1141</v>
      </c>
      <c r="H29" t="s">
        <v>53</v>
      </c>
      <c r="I29" t="str">
        <f>Tabla6[[#This Row],[DECRETO]]&amp;" - "&amp;Tabla6[[#This Row],[Nombre Obra]]</f>
        <v>418 - MODIFICACIÓN DE CONEXIÓN DE PAÑOS DE TRANSFORMACIÓN “TR5” Y UN
NUEVO BANCO EN NUEVO PATIO “GIS” 110 KV S/E CERRO NAVIA 110 KV.</v>
      </c>
      <c r="J29" t="s">
        <v>154</v>
      </c>
      <c r="L29" t="s">
        <v>17</v>
      </c>
      <c r="M29" t="s">
        <v>18</v>
      </c>
      <c r="N29">
        <v>36</v>
      </c>
      <c r="O29" s="160">
        <v>44166</v>
      </c>
      <c r="P29">
        <v>273900</v>
      </c>
      <c r="Q29">
        <v>43500</v>
      </c>
      <c r="R29">
        <v>317400</v>
      </c>
      <c r="S29" t="s">
        <v>34</v>
      </c>
      <c r="T29" t="str" cm="1">
        <f t="array" ref="T29">INDEX(BASE_GRAL[ESTADO 1], MAX(IF(BASE_GRAL[ID_INDIVIDUAL]=G29, ROW(BASE_GRAL[ID_INDIVIDUAL])-MIN(ROW(BASE_GRAL[ID_INDIVIDUAL]))+1)))</f>
        <v>LICITADA</v>
      </c>
      <c r="U29" t="str" cm="1">
        <f t="array" ref="U29">INDEX(BASE_GRAL[ESTADO 2], MAX(IF(BASE_GRAL[ID_INDIVIDUAL]=G29, ROW(BASE_GRAL[ID_INDIVIDUAL])-MIN(ROW(BASE_GRAL[ID_INDIVIDUAL]))+1)))</f>
        <v>ADJUDICADA</v>
      </c>
      <c r="V29" t="str" cm="1">
        <f t="array" ref="V29">INDEX(BASE_GRAL[Proceso '[AÑO + DECRETO']], MAX(IF(BASE_GRAL[ID_INDIVIDUAL]=G29, ROW(BASE_GRAL[ID_INDIVIDUAL])-MIN(ROW(BASE_GRAL[ID_INDIVIDUAL]))+1)))</f>
        <v>1_PROCESO_OA_17</v>
      </c>
    </row>
    <row r="30" spans="1:22" x14ac:dyDescent="0.25">
      <c r="A30">
        <v>29</v>
      </c>
      <c r="B30">
        <v>2017</v>
      </c>
      <c r="C30">
        <v>418</v>
      </c>
      <c r="D30" s="6">
        <v>42920</v>
      </c>
      <c r="E30">
        <v>17</v>
      </c>
      <c r="F30" t="s">
        <v>59</v>
      </c>
      <c r="G30" t="s">
        <v>1142</v>
      </c>
      <c r="H30" t="s">
        <v>1189</v>
      </c>
      <c r="I30" t="str">
        <f>Tabla6[[#This Row],[DECRETO]]&amp;" - "&amp;Tabla6[[#This Row],[Nombre Obra]]</f>
        <v>418 - Ampliación en S/E La Esperanza</v>
      </c>
      <c r="J30" t="s">
        <v>154</v>
      </c>
      <c r="L30" t="s">
        <v>17</v>
      </c>
      <c r="M30" t="s">
        <v>18</v>
      </c>
      <c r="N30">
        <v>18</v>
      </c>
      <c r="O30" s="160">
        <v>43617</v>
      </c>
      <c r="P30">
        <v>228400</v>
      </c>
      <c r="Q30">
        <v>36200</v>
      </c>
      <c r="R30">
        <v>264600</v>
      </c>
      <c r="S30" t="s">
        <v>27</v>
      </c>
      <c r="T30" t="str" cm="1">
        <f t="array" ref="T30">INDEX(BASE_GRAL[ESTADO 1], MAX(IF(BASE_GRAL[ID_INDIVIDUAL]=G30, ROW(BASE_GRAL[ID_INDIVIDUAL])-MIN(ROW(BASE_GRAL[ID_INDIVIDUAL]))+1)))</f>
        <v>LICITADA</v>
      </c>
      <c r="U30" t="str" cm="1">
        <f t="array" ref="U30">INDEX(BASE_GRAL[ESTADO 2], MAX(IF(BASE_GRAL[ID_INDIVIDUAL]=G30, ROW(BASE_GRAL[ID_INDIVIDUAL])-MIN(ROW(BASE_GRAL[ID_INDIVIDUAL]))+1)))</f>
        <v>DESIERTA - POR VMAX</v>
      </c>
      <c r="V30" t="str" cm="1">
        <f t="array" ref="V30">INDEX(BASE_GRAL[Proceso '[AÑO + DECRETO']], MAX(IF(BASE_GRAL[ID_INDIVIDUAL]=G30, ROW(BASE_GRAL[ID_INDIVIDUAL])-MIN(ROW(BASE_GRAL[ID_INDIVIDUAL]))+1)))</f>
        <v>2_PROCESO_OA_18</v>
      </c>
    </row>
    <row r="31" spans="1:22" x14ac:dyDescent="0.25">
      <c r="A31">
        <v>30</v>
      </c>
      <c r="B31">
        <v>2017</v>
      </c>
      <c r="C31">
        <v>418</v>
      </c>
      <c r="D31" s="6">
        <v>42920</v>
      </c>
      <c r="E31">
        <v>17</v>
      </c>
      <c r="F31" t="s">
        <v>59</v>
      </c>
      <c r="G31" t="s">
        <v>1143</v>
      </c>
      <c r="H31" t="s">
        <v>1190</v>
      </c>
      <c r="I31" t="str">
        <f>Tabla6[[#This Row],[DECRETO]]&amp;" - "&amp;Tabla6[[#This Row],[Nombre Obra]]</f>
        <v>418 - Ampliación en S/E Alcones</v>
      </c>
      <c r="J31" t="s">
        <v>154</v>
      </c>
      <c r="L31" t="s">
        <v>17</v>
      </c>
      <c r="M31" t="s">
        <v>18</v>
      </c>
      <c r="N31">
        <v>18</v>
      </c>
      <c r="O31" s="160">
        <v>43617</v>
      </c>
      <c r="P31">
        <v>195600</v>
      </c>
      <c r="Q31">
        <v>31000</v>
      </c>
      <c r="R31">
        <v>226600</v>
      </c>
      <c r="S31" t="s">
        <v>27</v>
      </c>
      <c r="T31" t="str" cm="1">
        <f t="array" ref="T31">INDEX(BASE_GRAL[ESTADO 1], MAX(IF(BASE_GRAL[ID_INDIVIDUAL]=G31, ROW(BASE_GRAL[ID_INDIVIDUAL])-MIN(ROW(BASE_GRAL[ID_INDIVIDUAL]))+1)))</f>
        <v>LICITADA</v>
      </c>
      <c r="U31" t="str" cm="1">
        <f t="array" ref="U31">INDEX(BASE_GRAL[ESTADO 2], MAX(IF(BASE_GRAL[ID_INDIVIDUAL]=G31, ROW(BASE_GRAL[ID_INDIVIDUAL])-MIN(ROW(BASE_GRAL[ID_INDIVIDUAL]))+1)))</f>
        <v>ADJUDICADA</v>
      </c>
      <c r="V31" t="str" cm="1">
        <f t="array" ref="V31">INDEX(BASE_GRAL[Proceso '[AÑO + DECRETO']], MAX(IF(BASE_GRAL[ID_INDIVIDUAL]=G31, ROW(BASE_GRAL[ID_INDIVIDUAL])-MIN(ROW(BASE_GRAL[ID_INDIVIDUAL]))+1)))</f>
        <v>1_PROCESO_OA_17</v>
      </c>
    </row>
    <row r="32" spans="1:22" x14ac:dyDescent="0.25">
      <c r="A32">
        <v>31</v>
      </c>
      <c r="B32">
        <v>2017</v>
      </c>
      <c r="C32">
        <v>418</v>
      </c>
      <c r="D32" s="6">
        <v>42920</v>
      </c>
      <c r="E32">
        <v>17</v>
      </c>
      <c r="F32" t="s">
        <v>59</v>
      </c>
      <c r="G32" t="s">
        <v>1178</v>
      </c>
      <c r="H32" t="s">
        <v>1191</v>
      </c>
      <c r="I32" t="str">
        <f>Tabla6[[#This Row],[DECRETO]]&amp;" - "&amp;Tabla6[[#This Row],[Nombre Obra]]</f>
        <v>418 - Ampliación en S/E Nancahua</v>
      </c>
      <c r="J32" t="s">
        <v>154</v>
      </c>
      <c r="L32" t="s">
        <v>17</v>
      </c>
      <c r="M32" t="s">
        <v>18</v>
      </c>
      <c r="N32">
        <v>18</v>
      </c>
      <c r="O32" s="160">
        <v>43617</v>
      </c>
      <c r="P32">
        <v>202700</v>
      </c>
      <c r="Q32">
        <v>32200.000000000004</v>
      </c>
      <c r="R32">
        <v>234900</v>
      </c>
      <c r="S32" t="s">
        <v>27</v>
      </c>
      <c r="T32" t="str" cm="1">
        <f t="array" ref="T32">INDEX(BASE_GRAL[ESTADO 1], MAX(IF(BASE_GRAL[ID_INDIVIDUAL]=G32, ROW(BASE_GRAL[ID_INDIVIDUAL])-MIN(ROW(BASE_GRAL[ID_INDIVIDUAL]))+1)))</f>
        <v>LICITADA</v>
      </c>
      <c r="U32" t="str" cm="1">
        <f t="array" ref="U32">INDEX(BASE_GRAL[ESTADO 2], MAX(IF(BASE_GRAL[ID_INDIVIDUAL]=G32, ROW(BASE_GRAL[ID_INDIVIDUAL])-MIN(ROW(BASE_GRAL[ID_INDIVIDUAL]))+1)))</f>
        <v>DESIERTA - POR VMAX</v>
      </c>
      <c r="V32" t="str" cm="1">
        <f t="array" ref="V32">INDEX(BASE_GRAL[Proceso '[AÑO + DECRETO']], MAX(IF(BASE_GRAL[ID_INDIVIDUAL]=G32, ROW(BASE_GRAL[ID_INDIVIDUAL])-MIN(ROW(BASE_GRAL[ID_INDIVIDUAL]))+1)))</f>
        <v>2_PROCESO_OA_18</v>
      </c>
    </row>
    <row r="33" spans="1:22" x14ac:dyDescent="0.25">
      <c r="A33">
        <v>32</v>
      </c>
      <c r="B33">
        <v>2017</v>
      </c>
      <c r="C33">
        <v>418</v>
      </c>
      <c r="D33" s="6">
        <v>42920</v>
      </c>
      <c r="E33">
        <v>17</v>
      </c>
      <c r="F33" t="s">
        <v>59</v>
      </c>
      <c r="G33" t="s">
        <v>1179</v>
      </c>
      <c r="H33" t="s">
        <v>1192</v>
      </c>
      <c r="I33" t="str">
        <f>Tabla6[[#This Row],[DECRETO]]&amp;" - "&amp;Tabla6[[#This Row],[Nombre Obra]]</f>
        <v>418 - Ampliación en S/E Paniahue</v>
      </c>
      <c r="J33" t="s">
        <v>154</v>
      </c>
      <c r="L33" t="s">
        <v>17</v>
      </c>
      <c r="M33" t="s">
        <v>18</v>
      </c>
      <c r="N33">
        <v>18</v>
      </c>
      <c r="O33" s="160">
        <v>43617</v>
      </c>
      <c r="P33">
        <v>251600</v>
      </c>
      <c r="Q33">
        <v>39900</v>
      </c>
      <c r="R33">
        <v>291500</v>
      </c>
      <c r="S33" t="s">
        <v>27</v>
      </c>
      <c r="T33" t="str" cm="1">
        <f t="array" ref="T33">INDEX(BASE_GRAL[ESTADO 1], MAX(IF(BASE_GRAL[ID_INDIVIDUAL]=G33, ROW(BASE_GRAL[ID_INDIVIDUAL])-MIN(ROW(BASE_GRAL[ID_INDIVIDUAL]))+1)))</f>
        <v>LICITADA</v>
      </c>
      <c r="U33" t="str" cm="1">
        <f t="array" ref="U33">INDEX(BASE_GRAL[ESTADO 2], MAX(IF(BASE_GRAL[ID_INDIVIDUAL]=G33, ROW(BASE_GRAL[ID_INDIVIDUAL])-MIN(ROW(BASE_GRAL[ID_INDIVIDUAL]))+1)))</f>
        <v>DESIERTA - POR VMAX</v>
      </c>
      <c r="V33" t="str" cm="1">
        <f t="array" ref="V33">INDEX(BASE_GRAL[Proceso '[AÑO + DECRETO']], MAX(IF(BASE_GRAL[ID_INDIVIDUAL]=G33, ROW(BASE_GRAL[ID_INDIVIDUAL])-MIN(ROW(BASE_GRAL[ID_INDIVIDUAL]))+1)))</f>
        <v>2_PROCESO_OA_18</v>
      </c>
    </row>
    <row r="34" spans="1:22" x14ac:dyDescent="0.25">
      <c r="A34">
        <v>33</v>
      </c>
      <c r="B34">
        <v>2017</v>
      </c>
      <c r="C34">
        <v>418</v>
      </c>
      <c r="D34" s="6">
        <v>42920</v>
      </c>
      <c r="E34">
        <v>17</v>
      </c>
      <c r="F34" t="s">
        <v>59</v>
      </c>
      <c r="G34" t="s">
        <v>1144</v>
      </c>
      <c r="H34" t="s">
        <v>1193</v>
      </c>
      <c r="I34" t="str">
        <f>Tabla6[[#This Row],[DECRETO]]&amp;" - "&amp;Tabla6[[#This Row],[Nombre Obra]]</f>
        <v>418 - Ampliación en S/E Alameda</v>
      </c>
      <c r="J34" t="s">
        <v>154</v>
      </c>
      <c r="L34" t="s">
        <v>17</v>
      </c>
      <c r="M34" t="s">
        <v>18</v>
      </c>
      <c r="N34">
        <v>18</v>
      </c>
      <c r="O34" s="160">
        <v>43617</v>
      </c>
      <c r="P34">
        <v>280600</v>
      </c>
      <c r="Q34">
        <v>44500</v>
      </c>
      <c r="R34">
        <v>325100</v>
      </c>
      <c r="S34" t="s">
        <v>27</v>
      </c>
      <c r="T34" t="str" cm="1">
        <f t="array" ref="T34">INDEX(BASE_GRAL[ESTADO 1], MAX(IF(BASE_GRAL[ID_INDIVIDUAL]=G34, ROW(BASE_GRAL[ID_INDIVIDUAL])-MIN(ROW(BASE_GRAL[ID_INDIVIDUAL]))+1)))</f>
        <v>LICITADA</v>
      </c>
      <c r="U34" t="str" cm="1">
        <f t="array" ref="U34">INDEX(BASE_GRAL[ESTADO 2], MAX(IF(BASE_GRAL[ID_INDIVIDUAL]=G34, ROW(BASE_GRAL[ID_INDIVIDUAL])-MIN(ROW(BASE_GRAL[ID_INDIVIDUAL]))+1)))</f>
        <v>DESIERTA - POR VMAX</v>
      </c>
      <c r="V34" t="str" cm="1">
        <f t="array" ref="V34">INDEX(BASE_GRAL[Proceso '[AÑO + DECRETO']], MAX(IF(BASE_GRAL[ID_INDIVIDUAL]=G34, ROW(BASE_GRAL[ID_INDIVIDUAL])-MIN(ROW(BASE_GRAL[ID_INDIVIDUAL]))+1)))</f>
        <v>2_PROCESO_OA_18</v>
      </c>
    </row>
    <row r="35" spans="1:22" x14ac:dyDescent="0.25">
      <c r="A35">
        <v>34</v>
      </c>
      <c r="B35">
        <v>2017</v>
      </c>
      <c r="C35">
        <v>418</v>
      </c>
      <c r="D35" s="6">
        <v>42920</v>
      </c>
      <c r="E35">
        <v>17</v>
      </c>
      <c r="F35" t="s">
        <v>59</v>
      </c>
      <c r="G35" t="s">
        <v>1145</v>
      </c>
      <c r="H35" t="s">
        <v>1194</v>
      </c>
      <c r="I35" t="str">
        <f>Tabla6[[#This Row],[DECRETO]]&amp;" - "&amp;Tabla6[[#This Row],[Nombre Obra]]</f>
        <v>418 - Ampliación en S/E Graneros</v>
      </c>
      <c r="J35" t="s">
        <v>154</v>
      </c>
      <c r="L35" t="s">
        <v>17</v>
      </c>
      <c r="M35" t="s">
        <v>18</v>
      </c>
      <c r="N35">
        <v>18</v>
      </c>
      <c r="O35" s="160">
        <v>43617</v>
      </c>
      <c r="P35">
        <v>260300</v>
      </c>
      <c r="Q35">
        <v>41300</v>
      </c>
      <c r="R35">
        <v>301600</v>
      </c>
      <c r="S35" t="s">
        <v>27</v>
      </c>
      <c r="T35" t="str" cm="1">
        <f t="array" ref="T35">INDEX(BASE_GRAL[ESTADO 1], MAX(IF(BASE_GRAL[ID_INDIVIDUAL]=G35, ROW(BASE_GRAL[ID_INDIVIDUAL])-MIN(ROW(BASE_GRAL[ID_INDIVIDUAL]))+1)))</f>
        <v>LICITADA</v>
      </c>
      <c r="U35" t="str" cm="1">
        <f t="array" ref="U35">INDEX(BASE_GRAL[ESTADO 2], MAX(IF(BASE_GRAL[ID_INDIVIDUAL]=G35, ROW(BASE_GRAL[ID_INDIVIDUAL])-MIN(ROW(BASE_GRAL[ID_INDIVIDUAL]))+1)))</f>
        <v>ADJUDICADA</v>
      </c>
      <c r="V35" t="str" cm="1">
        <f t="array" ref="V35">INDEX(BASE_GRAL[Proceso '[AÑO + DECRETO']], MAX(IF(BASE_GRAL[ID_INDIVIDUAL]=G35, ROW(BASE_GRAL[ID_INDIVIDUAL])-MIN(ROW(BASE_GRAL[ID_INDIVIDUAL]))+1)))</f>
        <v>2_PROCESO_OA_18</v>
      </c>
    </row>
    <row r="36" spans="1:22" x14ac:dyDescent="0.25">
      <c r="A36">
        <v>35</v>
      </c>
      <c r="B36">
        <v>2017</v>
      </c>
      <c r="C36">
        <v>418</v>
      </c>
      <c r="D36" s="6">
        <v>42920</v>
      </c>
      <c r="E36">
        <v>17</v>
      </c>
      <c r="F36" t="s">
        <v>59</v>
      </c>
      <c r="G36" t="s">
        <v>1180</v>
      </c>
      <c r="H36" t="s">
        <v>731</v>
      </c>
      <c r="I36" t="str">
        <f>Tabla6[[#This Row],[DECRETO]]&amp;" - "&amp;Tabla6[[#This Row],[Nombre Obra]]</f>
        <v>418 - Ampliación en S/E San Vicente de Tagua Tagua</v>
      </c>
      <c r="J36" t="s">
        <v>154</v>
      </c>
      <c r="L36" t="s">
        <v>17</v>
      </c>
      <c r="M36" t="s">
        <v>18</v>
      </c>
      <c r="N36">
        <v>18</v>
      </c>
      <c r="O36" s="160">
        <v>43617</v>
      </c>
      <c r="P36">
        <v>141400</v>
      </c>
      <c r="Q36">
        <v>22400</v>
      </c>
      <c r="R36">
        <v>163800</v>
      </c>
      <c r="S36" t="s">
        <v>27</v>
      </c>
      <c r="T36" t="str" cm="1">
        <f t="array" ref="T36">INDEX(BASE_GRAL[ESTADO 1], MAX(IF(BASE_GRAL[ID_INDIVIDUAL]=G36, ROW(BASE_GRAL[ID_INDIVIDUAL])-MIN(ROW(BASE_GRAL[ID_INDIVIDUAL]))+1)))</f>
        <v>LICITADA</v>
      </c>
      <c r="U36" t="str" cm="1">
        <f t="array" ref="U36">INDEX(BASE_GRAL[ESTADO 2], MAX(IF(BASE_GRAL[ID_INDIVIDUAL]=G36, ROW(BASE_GRAL[ID_INDIVIDUAL])-MIN(ROW(BASE_GRAL[ID_INDIVIDUAL]))+1)))</f>
        <v>DESIERTA - POR VMAX</v>
      </c>
      <c r="V36" t="str" cm="1">
        <f t="array" ref="V36">INDEX(BASE_GRAL[Proceso '[AÑO + DECRETO']], MAX(IF(BASE_GRAL[ID_INDIVIDUAL]=G36, ROW(BASE_GRAL[ID_INDIVIDUAL])-MIN(ROW(BASE_GRAL[ID_INDIVIDUAL]))+1)))</f>
        <v>2_PROCESO_OA_18</v>
      </c>
    </row>
    <row r="37" spans="1:22" x14ac:dyDescent="0.25">
      <c r="A37">
        <v>36</v>
      </c>
      <c r="B37">
        <v>2017</v>
      </c>
      <c r="C37">
        <v>418</v>
      </c>
      <c r="D37" s="6">
        <v>42920</v>
      </c>
      <c r="E37">
        <v>17</v>
      </c>
      <c r="F37" t="s">
        <v>59</v>
      </c>
      <c r="G37" t="s">
        <v>1146</v>
      </c>
      <c r="H37" t="s">
        <v>1195</v>
      </c>
      <c r="I37" t="str">
        <f>Tabla6[[#This Row],[DECRETO]]&amp;" - "&amp;Tabla6[[#This Row],[Nombre Obra]]</f>
        <v>418 - Ampliación en S/E Punta de cortés</v>
      </c>
      <c r="J37" t="s">
        <v>154</v>
      </c>
      <c r="L37" t="s">
        <v>17</v>
      </c>
      <c r="M37" t="s">
        <v>18</v>
      </c>
      <c r="N37">
        <v>24</v>
      </c>
      <c r="O37" s="160">
        <v>43800</v>
      </c>
      <c r="P37">
        <v>968900</v>
      </c>
      <c r="Q37">
        <v>153700</v>
      </c>
      <c r="R37">
        <v>1122600</v>
      </c>
      <c r="S37" t="s">
        <v>27</v>
      </c>
      <c r="T37" t="str" cm="1">
        <f t="array" ref="T37">INDEX(BASE_GRAL[ESTADO 1], MAX(IF(BASE_GRAL[ID_INDIVIDUAL]=G37, ROW(BASE_GRAL[ID_INDIVIDUAL])-MIN(ROW(BASE_GRAL[ID_INDIVIDUAL]))+1)))</f>
        <v>LICITADA</v>
      </c>
      <c r="U37" t="str" cm="1">
        <f t="array" ref="U37">INDEX(BASE_GRAL[ESTADO 2], MAX(IF(BASE_GRAL[ID_INDIVIDUAL]=G37, ROW(BASE_GRAL[ID_INDIVIDUAL])-MIN(ROW(BASE_GRAL[ID_INDIVIDUAL]))+1)))</f>
        <v>ADJUDICADA</v>
      </c>
      <c r="V37" t="str" cm="1">
        <f t="array" ref="V37">INDEX(BASE_GRAL[Proceso '[AÑO + DECRETO']], MAX(IF(BASE_GRAL[ID_INDIVIDUAL]=G37, ROW(BASE_GRAL[ID_INDIVIDUAL])-MIN(ROW(BASE_GRAL[ID_INDIVIDUAL]))+1)))</f>
        <v>1_PROCESO_OA_17</v>
      </c>
    </row>
    <row r="38" spans="1:22" x14ac:dyDescent="0.25">
      <c r="A38">
        <v>37</v>
      </c>
      <c r="B38">
        <v>2017</v>
      </c>
      <c r="C38">
        <v>418</v>
      </c>
      <c r="D38" s="6">
        <v>42920</v>
      </c>
      <c r="E38">
        <v>17</v>
      </c>
      <c r="F38" t="s">
        <v>59</v>
      </c>
      <c r="G38" t="s">
        <v>1147</v>
      </c>
      <c r="H38" t="s">
        <v>82</v>
      </c>
      <c r="I38" t="str">
        <f>Tabla6[[#This Row],[DECRETO]]&amp;" - "&amp;Tabla6[[#This Row],[Nombre Obra]]</f>
        <v>418 - Seccionamiento en Línea 2x154 kV Alto Jahuel - Tinguiririca en S/E Punta de Cortés</v>
      </c>
      <c r="J38" t="s">
        <v>154</v>
      </c>
      <c r="L38" t="s">
        <v>17</v>
      </c>
      <c r="M38" t="s">
        <v>18</v>
      </c>
      <c r="N38">
        <v>24</v>
      </c>
      <c r="O38" s="160">
        <v>43800</v>
      </c>
      <c r="P38">
        <v>452300</v>
      </c>
      <c r="Q38">
        <v>71800</v>
      </c>
      <c r="R38">
        <v>524100</v>
      </c>
      <c r="S38" t="s">
        <v>34</v>
      </c>
      <c r="T38" t="str" cm="1">
        <f t="array" ref="T38">INDEX(BASE_GRAL[ESTADO 1], MAX(IF(BASE_GRAL[ID_INDIVIDUAL]=G38, ROW(BASE_GRAL[ID_INDIVIDUAL])-MIN(ROW(BASE_GRAL[ID_INDIVIDUAL]))+1)))</f>
        <v>LICITADA</v>
      </c>
      <c r="U38" t="str" cm="1">
        <f t="array" ref="U38">INDEX(BASE_GRAL[ESTADO 2], MAX(IF(BASE_GRAL[ID_INDIVIDUAL]=G38, ROW(BASE_GRAL[ID_INDIVIDUAL])-MIN(ROW(BASE_GRAL[ID_INDIVIDUAL]))+1)))</f>
        <v>ADJUDICADA</v>
      </c>
      <c r="V38" t="str" cm="1">
        <f t="array" ref="V38">INDEX(BASE_GRAL[Proceso '[AÑO + DECRETO']], MAX(IF(BASE_GRAL[ID_INDIVIDUAL]=G38, ROW(BASE_GRAL[ID_INDIVIDUAL])-MIN(ROW(BASE_GRAL[ID_INDIVIDUAL]))+1)))</f>
        <v>1_PROCESO_OA_17</v>
      </c>
    </row>
    <row r="39" spans="1:22" x14ac:dyDescent="0.25">
      <c r="A39">
        <v>38</v>
      </c>
      <c r="B39">
        <v>2017</v>
      </c>
      <c r="C39">
        <v>418</v>
      </c>
      <c r="D39" s="6">
        <v>42920</v>
      </c>
      <c r="E39">
        <v>17</v>
      </c>
      <c r="F39" t="s">
        <v>59</v>
      </c>
      <c r="G39" t="s">
        <v>1148</v>
      </c>
      <c r="H39" t="s">
        <v>1196</v>
      </c>
      <c r="I39" t="str">
        <f>Tabla6[[#This Row],[DECRETO]]&amp;" - "&amp;Tabla6[[#This Row],[Nombre Obra]]</f>
        <v>418 - Ampliación en S/E La Palma</v>
      </c>
      <c r="J39" t="s">
        <v>154</v>
      </c>
      <c r="L39" t="s">
        <v>17</v>
      </c>
      <c r="M39" t="s">
        <v>18</v>
      </c>
      <c r="N39">
        <v>24</v>
      </c>
      <c r="O39" s="160">
        <v>43800</v>
      </c>
      <c r="P39">
        <v>262700</v>
      </c>
      <c r="Q39">
        <v>41700</v>
      </c>
      <c r="R39">
        <v>304400</v>
      </c>
      <c r="S39" t="s">
        <v>27</v>
      </c>
      <c r="T39" t="str" cm="1">
        <f t="array" ref="T39">INDEX(BASE_GRAL[ESTADO 1], MAX(IF(BASE_GRAL[ID_INDIVIDUAL]=G39, ROW(BASE_GRAL[ID_INDIVIDUAL])-MIN(ROW(BASE_GRAL[ID_INDIVIDUAL]))+1)))</f>
        <v>LICITADA</v>
      </c>
      <c r="U39" t="str" cm="1">
        <f t="array" ref="U39">INDEX(BASE_GRAL[ESTADO 2], MAX(IF(BASE_GRAL[ID_INDIVIDUAL]=G39, ROW(BASE_GRAL[ID_INDIVIDUAL])-MIN(ROW(BASE_GRAL[ID_INDIVIDUAL]))+1)))</f>
        <v>ADJUDICADA</v>
      </c>
      <c r="V39" t="str" cm="1">
        <f t="array" ref="V39">INDEX(BASE_GRAL[Proceso '[AÑO + DECRETO']], MAX(IF(BASE_GRAL[ID_INDIVIDUAL]=G39, ROW(BASE_GRAL[ID_INDIVIDUAL])-MIN(ROW(BASE_GRAL[ID_INDIVIDUAL]))+1)))</f>
        <v>1_PROCESO_OA_17</v>
      </c>
    </row>
    <row r="40" spans="1:22" x14ac:dyDescent="0.25">
      <c r="A40">
        <v>39</v>
      </c>
      <c r="B40">
        <v>2017</v>
      </c>
      <c r="C40">
        <v>418</v>
      </c>
      <c r="D40" s="6">
        <v>42920</v>
      </c>
      <c r="E40">
        <v>17</v>
      </c>
      <c r="F40" t="s">
        <v>59</v>
      </c>
      <c r="G40" t="s">
        <v>1149</v>
      </c>
      <c r="H40" t="s">
        <v>1197</v>
      </c>
      <c r="I40" t="str">
        <f>Tabla6[[#This Row],[DECRETO]]&amp;" - "&amp;Tabla6[[#This Row],[Nombre Obra]]</f>
        <v>418 - Ampliación en S/E San Javier</v>
      </c>
      <c r="J40" t="s">
        <v>154</v>
      </c>
      <c r="L40" t="s">
        <v>17</v>
      </c>
      <c r="M40" t="s">
        <v>18</v>
      </c>
      <c r="N40">
        <v>18</v>
      </c>
      <c r="O40" s="160">
        <v>43617</v>
      </c>
      <c r="P40">
        <v>205200</v>
      </c>
      <c r="Q40">
        <v>32600</v>
      </c>
      <c r="R40">
        <v>237800</v>
      </c>
      <c r="S40" t="s">
        <v>27</v>
      </c>
      <c r="T40" t="str" cm="1">
        <f t="array" ref="T40">INDEX(BASE_GRAL[ESTADO 1], MAX(IF(BASE_GRAL[ID_INDIVIDUAL]=G40, ROW(BASE_GRAL[ID_INDIVIDUAL])-MIN(ROW(BASE_GRAL[ID_INDIVIDUAL]))+1)))</f>
        <v>LICITADA</v>
      </c>
      <c r="U40" t="str" cm="1">
        <f t="array" ref="U40">INDEX(BASE_GRAL[ESTADO 2], MAX(IF(BASE_GRAL[ID_INDIVIDUAL]=G40, ROW(BASE_GRAL[ID_INDIVIDUAL])-MIN(ROW(BASE_GRAL[ID_INDIVIDUAL]))+1)))</f>
        <v>ADJUDICADA</v>
      </c>
      <c r="V40" t="str" cm="1">
        <f t="array" ref="V40">INDEX(BASE_GRAL[Proceso '[AÑO + DECRETO']], MAX(IF(BASE_GRAL[ID_INDIVIDUAL]=G40, ROW(BASE_GRAL[ID_INDIVIDUAL])-MIN(ROW(BASE_GRAL[ID_INDIVIDUAL]))+1)))</f>
        <v>1_PROCESO_OA_17</v>
      </c>
    </row>
    <row r="41" spans="1:22" x14ac:dyDescent="0.25">
      <c r="A41">
        <v>40</v>
      </c>
      <c r="B41">
        <v>2017</v>
      </c>
      <c r="C41">
        <v>418</v>
      </c>
      <c r="D41" s="6">
        <v>42920</v>
      </c>
      <c r="E41">
        <v>17</v>
      </c>
      <c r="F41" t="s">
        <v>59</v>
      </c>
      <c r="G41" t="s">
        <v>1150</v>
      </c>
      <c r="H41" t="s">
        <v>933</v>
      </c>
      <c r="I41" t="str">
        <f>Tabla6[[#This Row],[DECRETO]]&amp;" - "&amp;Tabla6[[#This Row],[Nombre Obra]]</f>
        <v>418 - Ampliación en S/E Constitución</v>
      </c>
      <c r="J41" t="s">
        <v>154</v>
      </c>
      <c r="L41" t="s">
        <v>17</v>
      </c>
      <c r="M41" t="s">
        <v>18</v>
      </c>
      <c r="N41">
        <v>18</v>
      </c>
      <c r="O41" s="160">
        <v>43617</v>
      </c>
      <c r="P41">
        <v>264900</v>
      </c>
      <c r="Q41">
        <v>42000</v>
      </c>
      <c r="R41">
        <v>306900</v>
      </c>
      <c r="S41" t="s">
        <v>27</v>
      </c>
      <c r="T41" t="str" cm="1">
        <f t="array" ref="T41">INDEX(BASE_GRAL[ESTADO 1], MAX(IF(BASE_GRAL[ID_INDIVIDUAL]=G41, ROW(BASE_GRAL[ID_INDIVIDUAL])-MIN(ROW(BASE_GRAL[ID_INDIVIDUAL]))+1)))</f>
        <v>LICITADA</v>
      </c>
      <c r="U41" t="str" cm="1">
        <f t="array" ref="U41">INDEX(BASE_GRAL[ESTADO 2], MAX(IF(BASE_GRAL[ID_INDIVIDUAL]=G41, ROW(BASE_GRAL[ID_INDIVIDUAL])-MIN(ROW(BASE_GRAL[ID_INDIVIDUAL]))+1)))</f>
        <v>ADJUDICADA</v>
      </c>
      <c r="V41" t="str" cm="1">
        <f t="array" ref="V41">INDEX(BASE_GRAL[Proceso '[AÑO + DECRETO']], MAX(IF(BASE_GRAL[ID_INDIVIDUAL]=G41, ROW(BASE_GRAL[ID_INDIVIDUAL])-MIN(ROW(BASE_GRAL[ID_INDIVIDUAL]))+1)))</f>
        <v>1_PROCESO_OA_17</v>
      </c>
    </row>
    <row r="42" spans="1:22" x14ac:dyDescent="0.25">
      <c r="A42">
        <v>41</v>
      </c>
      <c r="B42">
        <v>2017</v>
      </c>
      <c r="C42">
        <v>418</v>
      </c>
      <c r="D42" s="6">
        <v>42920</v>
      </c>
      <c r="E42">
        <v>17</v>
      </c>
      <c r="F42" t="s">
        <v>59</v>
      </c>
      <c r="G42" t="s">
        <v>1151</v>
      </c>
      <c r="H42" t="s">
        <v>1198</v>
      </c>
      <c r="I42" t="str">
        <f>Tabla6[[#This Row],[DECRETO]]&amp;" - "&amp;Tabla6[[#This Row],[Nombre Obra]]</f>
        <v>418 - Ampliación en S/E Cauquenes</v>
      </c>
      <c r="J42" t="s">
        <v>154</v>
      </c>
      <c r="L42" t="s">
        <v>17</v>
      </c>
      <c r="M42" t="s">
        <v>18</v>
      </c>
      <c r="N42">
        <v>18</v>
      </c>
      <c r="O42" s="160">
        <v>43617</v>
      </c>
      <c r="P42">
        <v>149700</v>
      </c>
      <c r="Q42">
        <v>23700</v>
      </c>
      <c r="R42">
        <v>173400</v>
      </c>
      <c r="S42" t="s">
        <v>27</v>
      </c>
      <c r="T42" t="str" cm="1">
        <f t="array" ref="T42">INDEX(BASE_GRAL[ESTADO 1], MAX(IF(BASE_GRAL[ID_INDIVIDUAL]=G42, ROW(BASE_GRAL[ID_INDIVIDUAL])-MIN(ROW(BASE_GRAL[ID_INDIVIDUAL]))+1)))</f>
        <v>LICITADA</v>
      </c>
      <c r="U42" t="str" cm="1">
        <f t="array" ref="U42">INDEX(BASE_GRAL[ESTADO 2], MAX(IF(BASE_GRAL[ID_INDIVIDUAL]=G42, ROW(BASE_GRAL[ID_INDIVIDUAL])-MIN(ROW(BASE_GRAL[ID_INDIVIDUAL]))+1)))</f>
        <v>ADJUDICADA</v>
      </c>
      <c r="V42" t="str" cm="1">
        <f t="array" ref="V42">INDEX(BASE_GRAL[Proceso '[AÑO + DECRETO']], MAX(IF(BASE_GRAL[ID_INDIVIDUAL]=G42, ROW(BASE_GRAL[ID_INDIVIDUAL])-MIN(ROW(BASE_GRAL[ID_INDIVIDUAL]))+1)))</f>
        <v>1_PROCESO_OA_17</v>
      </c>
    </row>
    <row r="43" spans="1:22" x14ac:dyDescent="0.25">
      <c r="A43">
        <v>42</v>
      </c>
      <c r="B43">
        <v>2017</v>
      </c>
      <c r="C43">
        <v>418</v>
      </c>
      <c r="D43" s="6">
        <v>42920</v>
      </c>
      <c r="E43">
        <v>17</v>
      </c>
      <c r="F43" t="s">
        <v>59</v>
      </c>
      <c r="G43" t="s">
        <v>1152</v>
      </c>
      <c r="H43" t="s">
        <v>1199</v>
      </c>
      <c r="I43" t="str">
        <f>Tabla6[[#This Row],[DECRETO]]&amp;" - "&amp;Tabla6[[#This Row],[Nombre Obra]]</f>
        <v>418 - Ampliación en S/E Maule</v>
      </c>
      <c r="J43" t="s">
        <v>154</v>
      </c>
      <c r="L43" t="s">
        <v>17</v>
      </c>
      <c r="M43" t="s">
        <v>18</v>
      </c>
      <c r="N43">
        <v>18</v>
      </c>
      <c r="O43" s="160">
        <v>43617</v>
      </c>
      <c r="P43">
        <v>71600</v>
      </c>
      <c r="Q43">
        <v>11400</v>
      </c>
      <c r="R43">
        <v>83000</v>
      </c>
      <c r="S43" t="s">
        <v>27</v>
      </c>
      <c r="T43" t="str" cm="1">
        <f t="array" ref="T43">INDEX(BASE_GRAL[ESTADO 1], MAX(IF(BASE_GRAL[ID_INDIVIDUAL]=G43, ROW(BASE_GRAL[ID_INDIVIDUAL])-MIN(ROW(BASE_GRAL[ID_INDIVIDUAL]))+1)))</f>
        <v>LICITADA</v>
      </c>
      <c r="U43" t="str" cm="1">
        <f t="array" ref="U43">INDEX(BASE_GRAL[ESTADO 2], MAX(IF(BASE_GRAL[ID_INDIVIDUAL]=G43, ROW(BASE_GRAL[ID_INDIVIDUAL])-MIN(ROW(BASE_GRAL[ID_INDIVIDUAL]))+1)))</f>
        <v>ADJUDICADA</v>
      </c>
      <c r="V43" t="str" cm="1">
        <f t="array" ref="V43">INDEX(BASE_GRAL[Proceso '[AÑO + DECRETO']], MAX(IF(BASE_GRAL[ID_INDIVIDUAL]=G43, ROW(BASE_GRAL[ID_INDIVIDUAL])-MIN(ROW(BASE_GRAL[ID_INDIVIDUAL]))+1)))</f>
        <v>1_PROCESO_OA_17</v>
      </c>
    </row>
    <row r="44" spans="1:22" x14ac:dyDescent="0.25">
      <c r="A44">
        <v>43</v>
      </c>
      <c r="B44">
        <v>2017</v>
      </c>
      <c r="C44">
        <v>418</v>
      </c>
      <c r="D44" s="6">
        <v>42920</v>
      </c>
      <c r="E44">
        <v>17</v>
      </c>
      <c r="F44" t="s">
        <v>59</v>
      </c>
      <c r="G44" t="s">
        <v>1153</v>
      </c>
      <c r="H44" t="s">
        <v>1200</v>
      </c>
      <c r="I44" t="str">
        <f>Tabla6[[#This Row],[DECRETO]]&amp;" - "&amp;Tabla6[[#This Row],[Nombre Obra]]</f>
        <v>418 - Aumento de capacidad de transmisión en línea 2x66 kV Maule - Talca</v>
      </c>
      <c r="J44" t="s">
        <v>154</v>
      </c>
      <c r="L44" t="s">
        <v>17</v>
      </c>
      <c r="M44" t="s">
        <v>18</v>
      </c>
      <c r="N44">
        <v>24</v>
      </c>
      <c r="O44" s="160">
        <v>43800</v>
      </c>
      <c r="P44">
        <v>208700</v>
      </c>
      <c r="Q44">
        <v>44500</v>
      </c>
      <c r="R44">
        <v>253200</v>
      </c>
      <c r="S44" t="s">
        <v>27</v>
      </c>
      <c r="T44" t="str" cm="1">
        <f t="array" ref="T44">INDEX(BASE_GRAL[ESTADO 1], MAX(IF(BASE_GRAL[ID_INDIVIDUAL]=G44, ROW(BASE_GRAL[ID_INDIVIDUAL])-MIN(ROW(BASE_GRAL[ID_INDIVIDUAL]))+1)))</f>
        <v>LICITADA</v>
      </c>
      <c r="U44" t="str" cm="1">
        <f t="array" ref="U44">INDEX(BASE_GRAL[ESTADO 2], MAX(IF(BASE_GRAL[ID_INDIVIDUAL]=G44, ROW(BASE_GRAL[ID_INDIVIDUAL])-MIN(ROW(BASE_GRAL[ID_INDIVIDUAL]))+1)))</f>
        <v>ADJUDICADA</v>
      </c>
      <c r="V44" t="str" cm="1">
        <f t="array" ref="V44">INDEX(BASE_GRAL[Proceso '[AÑO + DECRETO']], MAX(IF(BASE_GRAL[ID_INDIVIDUAL]=G44, ROW(BASE_GRAL[ID_INDIVIDUAL])-MIN(ROW(BASE_GRAL[ID_INDIVIDUAL]))+1)))</f>
        <v>1_PROCESO_OA_17</v>
      </c>
    </row>
    <row r="45" spans="1:22" x14ac:dyDescent="0.25">
      <c r="A45">
        <v>44</v>
      </c>
      <c r="B45">
        <v>2017</v>
      </c>
      <c r="C45">
        <v>418</v>
      </c>
      <c r="D45" s="6">
        <v>42920</v>
      </c>
      <c r="E45">
        <v>17</v>
      </c>
      <c r="F45" t="s">
        <v>59</v>
      </c>
      <c r="G45" t="s">
        <v>1154</v>
      </c>
      <c r="H45" t="s">
        <v>1201</v>
      </c>
      <c r="I45" t="str">
        <f>Tabla6[[#This Row],[DECRETO]]&amp;" - "&amp;Tabla6[[#This Row],[Nombre Obra]]</f>
        <v>418 - Ampliación en S/E Itahue</v>
      </c>
      <c r="J45" t="s">
        <v>154</v>
      </c>
      <c r="L45" t="s">
        <v>17</v>
      </c>
      <c r="M45" t="s">
        <v>18</v>
      </c>
      <c r="N45">
        <v>48</v>
      </c>
      <c r="O45" s="160">
        <v>44531</v>
      </c>
      <c r="P45">
        <v>305900</v>
      </c>
      <c r="Q45">
        <v>48500</v>
      </c>
      <c r="R45">
        <v>354400</v>
      </c>
      <c r="S45" t="s">
        <v>34</v>
      </c>
      <c r="T45" t="str" cm="1">
        <f t="array" ref="T45">INDEX(BASE_GRAL[ESTADO 1], MAX(IF(BASE_GRAL[ID_INDIVIDUAL]=G45, ROW(BASE_GRAL[ID_INDIVIDUAL])-MIN(ROW(BASE_GRAL[ID_INDIVIDUAL]))+1)))</f>
        <v>LICITADA</v>
      </c>
      <c r="U45" t="str" cm="1">
        <f t="array" ref="U45">INDEX(BASE_GRAL[ESTADO 2], MAX(IF(BASE_GRAL[ID_INDIVIDUAL]=G45, ROW(BASE_GRAL[ID_INDIVIDUAL])-MIN(ROW(BASE_GRAL[ID_INDIVIDUAL]))+1)))</f>
        <v>ADJUDICADA</v>
      </c>
      <c r="V45" t="str" cm="1">
        <f t="array" ref="V45">INDEX(BASE_GRAL[Proceso '[AÑO + DECRETO']], MAX(IF(BASE_GRAL[ID_INDIVIDUAL]=G45, ROW(BASE_GRAL[ID_INDIVIDUAL])-MIN(ROW(BASE_GRAL[ID_INDIVIDUAL]))+1)))</f>
        <v>1_PROCESO_OA_17</v>
      </c>
    </row>
    <row r="46" spans="1:22" x14ac:dyDescent="0.25">
      <c r="A46">
        <v>45</v>
      </c>
      <c r="B46">
        <v>2017</v>
      </c>
      <c r="C46">
        <v>418</v>
      </c>
      <c r="D46" s="6">
        <v>42920</v>
      </c>
      <c r="E46">
        <v>17</v>
      </c>
      <c r="F46" t="s">
        <v>59</v>
      </c>
      <c r="G46" t="s">
        <v>1155</v>
      </c>
      <c r="H46" t="s">
        <v>1202</v>
      </c>
      <c r="I46" t="str">
        <f>Tabla6[[#This Row],[DECRETO]]&amp;" - "&amp;Tabla6[[#This Row],[Nombre Obra]]</f>
        <v>418 - Seccionamiento en S/E Tap Linares Norte</v>
      </c>
      <c r="J46" t="s">
        <v>154</v>
      </c>
      <c r="L46" t="s">
        <v>17</v>
      </c>
      <c r="M46" t="s">
        <v>18</v>
      </c>
      <c r="N46">
        <v>18</v>
      </c>
      <c r="O46" s="160">
        <v>43617</v>
      </c>
      <c r="P46">
        <v>183500</v>
      </c>
      <c r="Q46">
        <v>29100</v>
      </c>
      <c r="R46">
        <v>212600</v>
      </c>
      <c r="S46" t="s">
        <v>27</v>
      </c>
      <c r="T46" t="str" cm="1">
        <f t="array" ref="T46">INDEX(BASE_GRAL[ESTADO 1], MAX(IF(BASE_GRAL[ID_INDIVIDUAL]=G46, ROW(BASE_GRAL[ID_INDIVIDUAL])-MIN(ROW(BASE_GRAL[ID_INDIVIDUAL]))+1)))</f>
        <v>LICITADA</v>
      </c>
      <c r="U46" t="str" cm="1">
        <f t="array" ref="U46">INDEX(BASE_GRAL[ESTADO 2], MAX(IF(BASE_GRAL[ID_INDIVIDUAL]=G46, ROW(BASE_GRAL[ID_INDIVIDUAL])-MIN(ROW(BASE_GRAL[ID_INDIVIDUAL]))+1)))</f>
        <v>ADJUDICADA</v>
      </c>
      <c r="V46" t="str" cm="1">
        <f t="array" ref="V46">INDEX(BASE_GRAL[Proceso '[AÑO + DECRETO']], MAX(IF(BASE_GRAL[ID_INDIVIDUAL]=G46, ROW(BASE_GRAL[ID_INDIVIDUAL])-MIN(ROW(BASE_GRAL[ID_INDIVIDUAL]))+1)))</f>
        <v>1_PROCESO_OA_17</v>
      </c>
    </row>
    <row r="47" spans="1:22" x14ac:dyDescent="0.25">
      <c r="A47">
        <v>46</v>
      </c>
      <c r="B47">
        <v>2017</v>
      </c>
      <c r="C47">
        <v>418</v>
      </c>
      <c r="D47" s="6">
        <v>42920</v>
      </c>
      <c r="E47">
        <v>17</v>
      </c>
      <c r="F47" t="s">
        <v>59</v>
      </c>
      <c r="G47" t="s">
        <v>1156</v>
      </c>
      <c r="H47" t="s">
        <v>1203</v>
      </c>
      <c r="I47" t="str">
        <f>Tabla6[[#This Row],[DECRETO]]&amp;" - "&amp;Tabla6[[#This Row],[Nombre Obra]]</f>
        <v>418 - Ampliación en S/E Linares Norte</v>
      </c>
      <c r="J47" t="s">
        <v>154</v>
      </c>
      <c r="L47" t="s">
        <v>17</v>
      </c>
      <c r="M47" t="s">
        <v>18</v>
      </c>
      <c r="N47">
        <v>18</v>
      </c>
      <c r="O47" s="160">
        <v>43617</v>
      </c>
      <c r="P47">
        <v>176000</v>
      </c>
      <c r="Q47">
        <v>27900</v>
      </c>
      <c r="R47">
        <v>203900</v>
      </c>
      <c r="S47" t="s">
        <v>102</v>
      </c>
      <c r="T47" t="str" cm="1">
        <f t="array" ref="T47">INDEX(BASE_GRAL[ESTADO 1], MAX(IF(BASE_GRAL[ID_INDIVIDUAL]=G47, ROW(BASE_GRAL[ID_INDIVIDUAL])-MIN(ROW(BASE_GRAL[ID_INDIVIDUAL]))+1)))</f>
        <v>LICITADA</v>
      </c>
      <c r="U47" t="str" cm="1">
        <f t="array" ref="U47">INDEX(BASE_GRAL[ESTADO 2], MAX(IF(BASE_GRAL[ID_INDIVIDUAL]=G47, ROW(BASE_GRAL[ID_INDIVIDUAL])-MIN(ROW(BASE_GRAL[ID_INDIVIDUAL]))+1)))</f>
        <v>ADJUDICADA</v>
      </c>
      <c r="V47" t="str" cm="1">
        <f t="array" ref="V47">INDEX(BASE_GRAL[Proceso '[AÑO + DECRETO']], MAX(IF(BASE_GRAL[ID_INDIVIDUAL]=G47, ROW(BASE_GRAL[ID_INDIVIDUAL])-MIN(ROW(BASE_GRAL[ID_INDIVIDUAL]))+1)))</f>
        <v>1_PROCESO_OA_17</v>
      </c>
    </row>
    <row r="48" spans="1:22" x14ac:dyDescent="0.25">
      <c r="A48">
        <v>47</v>
      </c>
      <c r="B48">
        <v>2017</v>
      </c>
      <c r="C48">
        <v>418</v>
      </c>
      <c r="D48" s="6">
        <v>42920</v>
      </c>
      <c r="E48">
        <v>17</v>
      </c>
      <c r="F48" t="s">
        <v>59</v>
      </c>
      <c r="G48" t="s">
        <v>1157</v>
      </c>
      <c r="H48" t="s">
        <v>1204</v>
      </c>
      <c r="I48" t="str">
        <f>Tabla6[[#This Row],[DECRETO]]&amp;" - "&amp;Tabla6[[#This Row],[Nombre Obra]]</f>
        <v>418 - Seccionamiento en S/E Panimávida</v>
      </c>
      <c r="J48" t="s">
        <v>154</v>
      </c>
      <c r="L48" t="s">
        <v>17</v>
      </c>
      <c r="M48" t="s">
        <v>18</v>
      </c>
      <c r="N48">
        <v>18</v>
      </c>
      <c r="O48" s="160">
        <v>43617</v>
      </c>
      <c r="P48">
        <v>60700</v>
      </c>
      <c r="Q48">
        <v>9600</v>
      </c>
      <c r="R48">
        <v>70300</v>
      </c>
      <c r="S48" t="s">
        <v>34</v>
      </c>
      <c r="T48" t="str" cm="1">
        <f t="array" ref="T48">INDEX(BASE_GRAL[ESTADO 1], MAX(IF(BASE_GRAL[ID_INDIVIDUAL]=G48, ROW(BASE_GRAL[ID_INDIVIDUAL])-MIN(ROW(BASE_GRAL[ID_INDIVIDUAL]))+1)))</f>
        <v>LICITADA</v>
      </c>
      <c r="U48" t="str" cm="1">
        <f t="array" ref="U48">INDEX(BASE_GRAL[ESTADO 2], MAX(IF(BASE_GRAL[ID_INDIVIDUAL]=G48, ROW(BASE_GRAL[ID_INDIVIDUAL])-MIN(ROW(BASE_GRAL[ID_INDIVIDUAL]))+1)))</f>
        <v>ADJUDICADA</v>
      </c>
      <c r="V48" t="str" cm="1">
        <f t="array" ref="V48">INDEX(BASE_GRAL[Proceso '[AÑO + DECRETO']], MAX(IF(BASE_GRAL[ID_INDIVIDUAL]=G48, ROW(BASE_GRAL[ID_INDIVIDUAL])-MIN(ROW(BASE_GRAL[ID_INDIVIDUAL]))+1)))</f>
        <v>1_PROCESO_OA_17</v>
      </c>
    </row>
    <row r="49" spans="1:22" x14ac:dyDescent="0.25">
      <c r="A49">
        <v>48</v>
      </c>
      <c r="B49">
        <v>2017</v>
      </c>
      <c r="C49">
        <v>418</v>
      </c>
      <c r="D49" s="6">
        <v>42920</v>
      </c>
      <c r="E49">
        <v>17</v>
      </c>
      <c r="F49" t="s">
        <v>59</v>
      </c>
      <c r="G49" t="s">
        <v>1158</v>
      </c>
      <c r="H49" t="s">
        <v>1205</v>
      </c>
      <c r="I49" t="str">
        <f>Tabla6[[#This Row],[DECRETO]]&amp;" - "&amp;Tabla6[[#This Row],[Nombre Obra]]</f>
        <v>418 - Ampliación en S/E Panimávida</v>
      </c>
      <c r="J49" t="s">
        <v>154</v>
      </c>
      <c r="L49" t="s">
        <v>17</v>
      </c>
      <c r="M49" t="s">
        <v>18</v>
      </c>
      <c r="N49">
        <v>18</v>
      </c>
      <c r="O49" s="160">
        <v>43617</v>
      </c>
      <c r="P49">
        <v>86900</v>
      </c>
      <c r="Q49">
        <v>13800</v>
      </c>
      <c r="R49">
        <v>100700</v>
      </c>
      <c r="S49" t="s">
        <v>102</v>
      </c>
      <c r="T49" t="str" cm="1">
        <f t="array" ref="T49">INDEX(BASE_GRAL[ESTADO 1], MAX(IF(BASE_GRAL[ID_INDIVIDUAL]=G49, ROW(BASE_GRAL[ID_INDIVIDUAL])-MIN(ROW(BASE_GRAL[ID_INDIVIDUAL]))+1)))</f>
        <v>LICITADA</v>
      </c>
      <c r="U49" t="str" cm="1">
        <f t="array" ref="U49">INDEX(BASE_GRAL[ESTADO 2], MAX(IF(BASE_GRAL[ID_INDIVIDUAL]=G49, ROW(BASE_GRAL[ID_INDIVIDUAL])-MIN(ROW(BASE_GRAL[ID_INDIVIDUAL]))+1)))</f>
        <v>ADJUDICADA</v>
      </c>
      <c r="V49" t="str" cm="1">
        <f t="array" ref="V49">INDEX(BASE_GRAL[Proceso '[AÑO + DECRETO']], MAX(IF(BASE_GRAL[ID_INDIVIDUAL]=G49, ROW(BASE_GRAL[ID_INDIVIDUAL])-MIN(ROW(BASE_GRAL[ID_INDIVIDUAL]))+1)))</f>
        <v>1_PROCESO_OA_17</v>
      </c>
    </row>
    <row r="50" spans="1:22" x14ac:dyDescent="0.25">
      <c r="A50">
        <v>49</v>
      </c>
      <c r="B50">
        <v>2017</v>
      </c>
      <c r="C50">
        <v>418</v>
      </c>
      <c r="D50" s="6">
        <v>42920</v>
      </c>
      <c r="E50">
        <v>17</v>
      </c>
      <c r="F50" t="s">
        <v>59</v>
      </c>
      <c r="G50" t="s">
        <v>1159</v>
      </c>
      <c r="H50" t="s">
        <v>1206</v>
      </c>
      <c r="I50" t="str">
        <f>Tabla6[[#This Row],[DECRETO]]&amp;" - "&amp;Tabla6[[#This Row],[Nombre Obra]]</f>
        <v>418 - Ampliación en S/E San Carlos</v>
      </c>
      <c r="J50" t="s">
        <v>154</v>
      </c>
      <c r="L50" t="s">
        <v>17</v>
      </c>
      <c r="M50" t="s">
        <v>18</v>
      </c>
      <c r="N50">
        <v>18</v>
      </c>
      <c r="O50" s="160">
        <v>43617</v>
      </c>
      <c r="P50">
        <v>232700</v>
      </c>
      <c r="Q50">
        <v>36900</v>
      </c>
      <c r="R50">
        <v>269600</v>
      </c>
      <c r="S50" t="s">
        <v>27</v>
      </c>
      <c r="T50" t="str" cm="1">
        <f t="array" ref="T50">INDEX(BASE_GRAL[ESTADO 1], MAX(IF(BASE_GRAL[ID_INDIVIDUAL]=G50, ROW(BASE_GRAL[ID_INDIVIDUAL])-MIN(ROW(BASE_GRAL[ID_INDIVIDUAL]))+1)))</f>
        <v>LICITADA</v>
      </c>
      <c r="U50" t="str" cm="1">
        <f t="array" ref="U50">INDEX(BASE_GRAL[ESTADO 2], MAX(IF(BASE_GRAL[ID_INDIVIDUAL]=G50, ROW(BASE_GRAL[ID_INDIVIDUAL])-MIN(ROW(BASE_GRAL[ID_INDIVIDUAL]))+1)))</f>
        <v>DESIERTA - POR VMAX</v>
      </c>
      <c r="V50" t="str" cm="1">
        <f t="array" ref="V50">INDEX(BASE_GRAL[Proceso '[AÑO + DECRETO']], MAX(IF(BASE_GRAL[ID_INDIVIDUAL]=G50, ROW(BASE_GRAL[ID_INDIVIDUAL])-MIN(ROW(BASE_GRAL[ID_INDIVIDUAL]))+1)))</f>
        <v>2_PROCESO_OA_18</v>
      </c>
    </row>
    <row r="51" spans="1:22" x14ac:dyDescent="0.25">
      <c r="A51">
        <v>50</v>
      </c>
      <c r="B51">
        <v>2017</v>
      </c>
      <c r="C51">
        <v>418</v>
      </c>
      <c r="D51" s="6">
        <v>42920</v>
      </c>
      <c r="E51">
        <v>17</v>
      </c>
      <c r="F51" t="s">
        <v>59</v>
      </c>
      <c r="G51" t="s">
        <v>1160</v>
      </c>
      <c r="H51" t="s">
        <v>1207</v>
      </c>
      <c r="I51" t="str">
        <f>Tabla6[[#This Row],[DECRETO]]&amp;" - "&amp;Tabla6[[#This Row],[Nombre Obra]]</f>
        <v>418 - Ampliación en S/E Parral</v>
      </c>
      <c r="J51" t="s">
        <v>154</v>
      </c>
      <c r="L51" t="s">
        <v>17</v>
      </c>
      <c r="M51" t="s">
        <v>18</v>
      </c>
      <c r="N51">
        <v>24</v>
      </c>
      <c r="O51" s="160">
        <v>43800</v>
      </c>
      <c r="P51">
        <v>48600</v>
      </c>
      <c r="Q51">
        <v>7700</v>
      </c>
      <c r="R51">
        <v>56300</v>
      </c>
      <c r="S51" t="s">
        <v>27</v>
      </c>
      <c r="T51" t="str" cm="1">
        <f t="array" ref="T51">INDEX(BASE_GRAL[ESTADO 1], MAX(IF(BASE_GRAL[ID_INDIVIDUAL]=G51, ROW(BASE_GRAL[ID_INDIVIDUAL])-MIN(ROW(BASE_GRAL[ID_INDIVIDUAL]))+1)))</f>
        <v>LICITADA</v>
      </c>
      <c r="U51" t="str" cm="1">
        <f t="array" ref="U51">INDEX(BASE_GRAL[ESTADO 2], MAX(IF(BASE_GRAL[ID_INDIVIDUAL]=G51, ROW(BASE_GRAL[ID_INDIVIDUAL])-MIN(ROW(BASE_GRAL[ID_INDIVIDUAL]))+1)))</f>
        <v>DESIERTA - POR VMAX</v>
      </c>
      <c r="V51" t="str" cm="1">
        <f t="array" ref="V51">INDEX(BASE_GRAL[Proceso '[AÑO + DECRETO']], MAX(IF(BASE_GRAL[ID_INDIVIDUAL]=G51, ROW(BASE_GRAL[ID_INDIVIDUAL])-MIN(ROW(BASE_GRAL[ID_INDIVIDUAL]))+1)))</f>
        <v>2_PROCESO_OA_18</v>
      </c>
    </row>
    <row r="52" spans="1:22" x14ac:dyDescent="0.25">
      <c r="A52">
        <v>51</v>
      </c>
      <c r="B52">
        <v>2017</v>
      </c>
      <c r="C52">
        <v>418</v>
      </c>
      <c r="D52" s="6">
        <v>42920</v>
      </c>
      <c r="E52">
        <v>17</v>
      </c>
      <c r="F52" t="s">
        <v>59</v>
      </c>
      <c r="G52" t="s">
        <v>1161</v>
      </c>
      <c r="H52" t="s">
        <v>1208</v>
      </c>
      <c r="I52" t="str">
        <f>Tabla6[[#This Row],[DECRETO]]&amp;" - "&amp;Tabla6[[#This Row],[Nombre Obra]]</f>
        <v>418 - Aumento de capacidad de transformación en S/E Longaví</v>
      </c>
      <c r="J52" t="s">
        <v>154</v>
      </c>
      <c r="L52" t="s">
        <v>17</v>
      </c>
      <c r="M52" t="s">
        <v>18</v>
      </c>
      <c r="N52">
        <v>18</v>
      </c>
      <c r="O52" s="160">
        <v>43617</v>
      </c>
      <c r="P52">
        <v>75600</v>
      </c>
      <c r="Q52">
        <v>12000</v>
      </c>
      <c r="R52">
        <v>87600</v>
      </c>
      <c r="S52" t="s">
        <v>103</v>
      </c>
      <c r="T52" t="str" cm="1">
        <f t="array" ref="T52">INDEX(BASE_GRAL[ESTADO 1], MAX(IF(BASE_GRAL[ID_INDIVIDUAL]=G52, ROW(BASE_GRAL[ID_INDIVIDUAL])-MIN(ROW(BASE_GRAL[ID_INDIVIDUAL]))+1)))</f>
        <v>LICITADA</v>
      </c>
      <c r="U52" t="str" cm="1">
        <f t="array" ref="U52">INDEX(BASE_GRAL[ESTADO 2], MAX(IF(BASE_GRAL[ID_INDIVIDUAL]=G52, ROW(BASE_GRAL[ID_INDIVIDUAL])-MIN(ROW(BASE_GRAL[ID_INDIVIDUAL]))+1)))</f>
        <v>DESIERTA - POR VMAX</v>
      </c>
      <c r="V52" t="str" cm="1">
        <f t="array" ref="V52">INDEX(BASE_GRAL[Proceso '[AÑO + DECRETO']], MAX(IF(BASE_GRAL[ID_INDIVIDUAL]=G52, ROW(BASE_GRAL[ID_INDIVIDUAL])-MIN(ROW(BASE_GRAL[ID_INDIVIDUAL]))+1)))</f>
        <v>2_PROCESO_OA_18</v>
      </c>
    </row>
    <row r="53" spans="1:22" x14ac:dyDescent="0.25">
      <c r="A53">
        <v>52</v>
      </c>
      <c r="B53">
        <v>2017</v>
      </c>
      <c r="C53">
        <v>418</v>
      </c>
      <c r="D53" s="6">
        <v>42920</v>
      </c>
      <c r="E53">
        <v>17</v>
      </c>
      <c r="F53" t="s">
        <v>59</v>
      </c>
      <c r="G53" t="s">
        <v>1162</v>
      </c>
      <c r="H53" t="s">
        <v>1209</v>
      </c>
      <c r="I53" t="str">
        <f>Tabla6[[#This Row],[DECRETO]]&amp;" - "&amp;Tabla6[[#This Row],[Nombre Obra]]</f>
        <v>418 - Seccionamiento en S/E San Gregorio</v>
      </c>
      <c r="J53" t="s">
        <v>154</v>
      </c>
      <c r="L53" t="s">
        <v>17</v>
      </c>
      <c r="M53" t="s">
        <v>18</v>
      </c>
      <c r="N53">
        <v>18</v>
      </c>
      <c r="O53" s="160">
        <v>43617</v>
      </c>
      <c r="P53">
        <v>60700</v>
      </c>
      <c r="Q53">
        <v>9600</v>
      </c>
      <c r="R53">
        <v>70300</v>
      </c>
      <c r="S53" t="s">
        <v>27</v>
      </c>
      <c r="T53" t="str" cm="1">
        <f t="array" ref="T53">INDEX(BASE_GRAL[ESTADO 1], MAX(IF(BASE_GRAL[ID_INDIVIDUAL]=G53, ROW(BASE_GRAL[ID_INDIVIDUAL])-MIN(ROW(BASE_GRAL[ID_INDIVIDUAL]))+1)))</f>
        <v>LICITADA</v>
      </c>
      <c r="U53" t="str" cm="1">
        <f t="array" ref="U53">INDEX(BASE_GRAL[ESTADO 2], MAX(IF(BASE_GRAL[ID_INDIVIDUAL]=G53, ROW(BASE_GRAL[ID_INDIVIDUAL])-MIN(ROW(BASE_GRAL[ID_INDIVIDUAL]))+1)))</f>
        <v>DESIERTA - POR VMAX</v>
      </c>
      <c r="V53" t="str" cm="1">
        <f t="array" ref="V53">INDEX(BASE_GRAL[Proceso '[AÑO + DECRETO']], MAX(IF(BASE_GRAL[ID_INDIVIDUAL]=G53, ROW(BASE_GRAL[ID_INDIVIDUAL])-MIN(ROW(BASE_GRAL[ID_INDIVIDUAL]))+1)))</f>
        <v>2_PROCESO_OA_18</v>
      </c>
    </row>
    <row r="54" spans="1:22" x14ac:dyDescent="0.25">
      <c r="A54">
        <v>53</v>
      </c>
      <c r="B54">
        <v>2017</v>
      </c>
      <c r="C54">
        <v>418</v>
      </c>
      <c r="D54" s="6">
        <v>42920</v>
      </c>
      <c r="E54">
        <v>17</v>
      </c>
      <c r="F54" t="s">
        <v>59</v>
      </c>
      <c r="G54" t="s">
        <v>1163</v>
      </c>
      <c r="H54" t="s">
        <v>1210</v>
      </c>
      <c r="I54" t="str">
        <f>Tabla6[[#This Row],[DECRETO]]&amp;" - "&amp;Tabla6[[#This Row],[Nombre Obra]]</f>
        <v>418 - Ampliación en S/E San Gregorio</v>
      </c>
      <c r="J54" t="s">
        <v>154</v>
      </c>
      <c r="L54" t="s">
        <v>17</v>
      </c>
      <c r="M54" t="s">
        <v>18</v>
      </c>
      <c r="N54">
        <v>18</v>
      </c>
      <c r="O54" s="160">
        <v>43617</v>
      </c>
      <c r="P54">
        <v>118900</v>
      </c>
      <c r="Q54">
        <v>18900</v>
      </c>
      <c r="R54">
        <v>137800</v>
      </c>
      <c r="S54" t="s">
        <v>103</v>
      </c>
      <c r="T54" t="str" cm="1">
        <f t="array" ref="T54">INDEX(BASE_GRAL[ESTADO 1], MAX(IF(BASE_GRAL[ID_INDIVIDUAL]=G54, ROW(BASE_GRAL[ID_INDIVIDUAL])-MIN(ROW(BASE_GRAL[ID_INDIVIDUAL]))+1)))</f>
        <v>LICITADA</v>
      </c>
      <c r="U54" t="str" cm="1">
        <f t="array" ref="U54">INDEX(BASE_GRAL[ESTADO 2], MAX(IF(BASE_GRAL[ID_INDIVIDUAL]=G54, ROW(BASE_GRAL[ID_INDIVIDUAL])-MIN(ROW(BASE_GRAL[ID_INDIVIDUAL]))+1)))</f>
        <v>DESIERTA - POR VMAX</v>
      </c>
      <c r="V54" t="str" cm="1">
        <f t="array" ref="V54">INDEX(BASE_GRAL[Proceso '[AÑO + DECRETO']], MAX(IF(BASE_GRAL[ID_INDIVIDUAL]=G54, ROW(BASE_GRAL[ID_INDIVIDUAL])-MIN(ROW(BASE_GRAL[ID_INDIVIDUAL]))+1)))</f>
        <v>2_PROCESO_OA_18</v>
      </c>
    </row>
    <row r="55" spans="1:22" x14ac:dyDescent="0.25">
      <c r="A55">
        <v>54</v>
      </c>
      <c r="B55">
        <v>2017</v>
      </c>
      <c r="C55">
        <v>418</v>
      </c>
      <c r="D55" s="6">
        <v>42920</v>
      </c>
      <c r="E55">
        <v>17</v>
      </c>
      <c r="F55" t="s">
        <v>59</v>
      </c>
      <c r="G55" t="s">
        <v>1164</v>
      </c>
      <c r="H55" t="s">
        <v>1211</v>
      </c>
      <c r="I55" t="str">
        <f>Tabla6[[#This Row],[DECRETO]]&amp;" - "&amp;Tabla6[[#This Row],[Nombre Obra]]</f>
        <v>418 - Ampliación en S/E Avellano</v>
      </c>
      <c r="J55" t="s">
        <v>154</v>
      </c>
      <c r="L55" t="s">
        <v>17</v>
      </c>
      <c r="M55" t="s">
        <v>18</v>
      </c>
      <c r="N55">
        <v>18</v>
      </c>
      <c r="O55" s="160">
        <v>43617</v>
      </c>
      <c r="P55">
        <v>306600</v>
      </c>
      <c r="Q55">
        <v>48700</v>
      </c>
      <c r="R55">
        <v>355300</v>
      </c>
      <c r="S55" t="s">
        <v>27</v>
      </c>
      <c r="T55" t="str" cm="1">
        <f t="array" ref="T55">INDEX(BASE_GRAL[ESTADO 1], MAX(IF(BASE_GRAL[ID_INDIVIDUAL]=G55, ROW(BASE_GRAL[ID_INDIVIDUAL])-MIN(ROW(BASE_GRAL[ID_INDIVIDUAL]))+1)))</f>
        <v>LICITADA</v>
      </c>
      <c r="U55" t="str" cm="1">
        <f t="array" ref="U55">INDEX(BASE_GRAL[ESTADO 2], MAX(IF(BASE_GRAL[ID_INDIVIDUAL]=G55, ROW(BASE_GRAL[ID_INDIVIDUAL])-MIN(ROW(BASE_GRAL[ID_INDIVIDUAL]))+1)))</f>
        <v>DESIERTA - POR VMAX</v>
      </c>
      <c r="V55" t="str" cm="1">
        <f t="array" ref="V55">INDEX(BASE_GRAL[Proceso '[AÑO + DECRETO']], MAX(IF(BASE_GRAL[ID_INDIVIDUAL]=G55, ROW(BASE_GRAL[ID_INDIVIDUAL])-MIN(ROW(BASE_GRAL[ID_INDIVIDUAL]))+1)))</f>
        <v>2_PROCESO_OA_18</v>
      </c>
    </row>
    <row r="56" spans="1:22" x14ac:dyDescent="0.25">
      <c r="A56">
        <v>55</v>
      </c>
      <c r="B56">
        <v>2017</v>
      </c>
      <c r="C56">
        <v>418</v>
      </c>
      <c r="D56" s="6">
        <v>42920</v>
      </c>
      <c r="E56">
        <v>17</v>
      </c>
      <c r="F56" t="s">
        <v>59</v>
      </c>
      <c r="G56" t="s">
        <v>1165</v>
      </c>
      <c r="H56" t="s">
        <v>93</v>
      </c>
      <c r="I56" t="str">
        <f>Tabla6[[#This Row],[DECRETO]]&amp;" - "&amp;Tabla6[[#This Row],[Nombre Obra]]</f>
        <v>418 - Cambio circuitos 1x154 kV Charrua - Tap Chillan y 1x154 kV Charrúa - Monterrico</v>
      </c>
      <c r="J56" t="s">
        <v>154</v>
      </c>
      <c r="L56" t="s">
        <v>17</v>
      </c>
      <c r="M56" t="s">
        <v>18</v>
      </c>
      <c r="N56">
        <v>24</v>
      </c>
      <c r="O56" s="160">
        <v>43800</v>
      </c>
      <c r="P56">
        <v>245100</v>
      </c>
      <c r="Q56">
        <v>38900</v>
      </c>
      <c r="R56">
        <v>284000</v>
      </c>
      <c r="S56" t="s">
        <v>34</v>
      </c>
      <c r="T56" t="str" cm="1">
        <f t="array" ref="T56">INDEX(BASE_GRAL[ESTADO 1], MAX(IF(BASE_GRAL[ID_INDIVIDUAL]=G56, ROW(BASE_GRAL[ID_INDIVIDUAL])-MIN(ROW(BASE_GRAL[ID_INDIVIDUAL]))+1)))</f>
        <v>LICITADA</v>
      </c>
      <c r="U56" t="str" cm="1">
        <f t="array" ref="U56">INDEX(BASE_GRAL[ESTADO 2], MAX(IF(BASE_GRAL[ID_INDIVIDUAL]=G56, ROW(BASE_GRAL[ID_INDIVIDUAL])-MIN(ROW(BASE_GRAL[ID_INDIVIDUAL]))+1)))</f>
        <v>DESIERTA - SIN OFERTAS</v>
      </c>
      <c r="V56" t="str" cm="1">
        <f t="array" ref="V56">INDEX(BASE_GRAL[Proceso '[AÑO + DECRETO']], MAX(IF(BASE_GRAL[ID_INDIVIDUAL]=G56, ROW(BASE_GRAL[ID_INDIVIDUAL])-MIN(ROW(BASE_GRAL[ID_INDIVIDUAL]))+1)))</f>
        <v>2_PROCESO_OA_18</v>
      </c>
    </row>
    <row r="57" spans="1:22" x14ac:dyDescent="0.25">
      <c r="A57">
        <v>56</v>
      </c>
      <c r="B57">
        <v>2017</v>
      </c>
      <c r="C57">
        <v>418</v>
      </c>
      <c r="D57" s="6">
        <v>42920</v>
      </c>
      <c r="E57">
        <v>17</v>
      </c>
      <c r="F57" t="s">
        <v>59</v>
      </c>
      <c r="G57" t="s">
        <v>1166</v>
      </c>
      <c r="H57" t="s">
        <v>742</v>
      </c>
      <c r="I57" t="str">
        <f>Tabla6[[#This Row],[DECRETO]]&amp;" - "&amp;Tabla6[[#This Row],[Nombre Obra]]</f>
        <v>418 - Ampliación en S/E Monterrico</v>
      </c>
      <c r="J57" t="s">
        <v>154</v>
      </c>
      <c r="L57" t="s">
        <v>17</v>
      </c>
      <c r="M57" t="s">
        <v>18</v>
      </c>
      <c r="N57">
        <v>24</v>
      </c>
      <c r="O57" s="160">
        <v>43800</v>
      </c>
      <c r="P57">
        <v>20300</v>
      </c>
      <c r="Q57">
        <v>3200</v>
      </c>
      <c r="R57">
        <v>23500</v>
      </c>
      <c r="S57" t="s">
        <v>27</v>
      </c>
      <c r="T57" t="str" cm="1">
        <f t="array" ref="T57">INDEX(BASE_GRAL[ESTADO 1], MAX(IF(BASE_GRAL[ID_INDIVIDUAL]=G57, ROW(BASE_GRAL[ID_INDIVIDUAL])-MIN(ROW(BASE_GRAL[ID_INDIVIDUAL]))+1)))</f>
        <v>LICITADA</v>
      </c>
      <c r="U57" t="str" cm="1">
        <f t="array" ref="U57">INDEX(BASE_GRAL[ESTADO 2], MAX(IF(BASE_GRAL[ID_INDIVIDUAL]=G57, ROW(BASE_GRAL[ID_INDIVIDUAL])-MIN(ROW(BASE_GRAL[ID_INDIVIDUAL]))+1)))</f>
        <v>DESIERTA - SIN OFERTAS</v>
      </c>
      <c r="V57" t="str" cm="1">
        <f t="array" ref="V57">INDEX(BASE_GRAL[Proceso '[AÑO + DECRETO']], MAX(IF(BASE_GRAL[ID_INDIVIDUAL]=G57, ROW(BASE_GRAL[ID_INDIVIDUAL])-MIN(ROW(BASE_GRAL[ID_INDIVIDUAL]))+1)))</f>
        <v>2_PROCESO_OA_18</v>
      </c>
    </row>
    <row r="58" spans="1:22" x14ac:dyDescent="0.25">
      <c r="A58">
        <v>57</v>
      </c>
      <c r="B58">
        <v>2017</v>
      </c>
      <c r="C58">
        <v>418</v>
      </c>
      <c r="D58" s="6">
        <v>42920</v>
      </c>
      <c r="E58">
        <v>17</v>
      </c>
      <c r="F58" t="s">
        <v>59</v>
      </c>
      <c r="G58" t="s">
        <v>1167</v>
      </c>
      <c r="H58" t="s">
        <v>1212</v>
      </c>
      <c r="I58" t="str">
        <f>Tabla6[[#This Row],[DECRETO]]&amp;" - "&amp;Tabla6[[#This Row],[Nombre Obra]]</f>
        <v>418 - Aumento de capacidad en S/E San Pedro</v>
      </c>
      <c r="J58" t="s">
        <v>154</v>
      </c>
      <c r="L58" t="s">
        <v>17</v>
      </c>
      <c r="M58" t="s">
        <v>18</v>
      </c>
      <c r="N58">
        <v>18</v>
      </c>
      <c r="O58" s="160">
        <v>43617</v>
      </c>
      <c r="P58">
        <v>125400</v>
      </c>
      <c r="Q58">
        <v>19900</v>
      </c>
      <c r="R58">
        <v>145300</v>
      </c>
      <c r="S58" t="s">
        <v>27</v>
      </c>
      <c r="T58" t="str" cm="1">
        <f t="array" ref="T58">INDEX(BASE_GRAL[ESTADO 1], MAX(IF(BASE_GRAL[ID_INDIVIDUAL]=G58, ROW(BASE_GRAL[ID_INDIVIDUAL])-MIN(ROW(BASE_GRAL[ID_INDIVIDUAL]))+1)))</f>
        <v>LICITADA</v>
      </c>
      <c r="U58" t="str" cm="1">
        <f t="array" ref="U58">INDEX(BASE_GRAL[ESTADO 2], MAX(IF(BASE_GRAL[ID_INDIVIDUAL]=G58, ROW(BASE_GRAL[ID_INDIVIDUAL])-MIN(ROW(BASE_GRAL[ID_INDIVIDUAL]))+1)))</f>
        <v>ADJUDICADA</v>
      </c>
      <c r="V58" t="str" cm="1">
        <f t="array" ref="V58">INDEX(BASE_GRAL[Proceso '[AÑO + DECRETO']], MAX(IF(BASE_GRAL[ID_INDIVIDUAL]=G58, ROW(BASE_GRAL[ID_INDIVIDUAL])-MIN(ROW(BASE_GRAL[ID_INDIVIDUAL]))+1)))</f>
        <v>1_PROCESO_OA_17</v>
      </c>
    </row>
    <row r="59" spans="1:22" x14ac:dyDescent="0.25">
      <c r="A59">
        <v>58</v>
      </c>
      <c r="B59">
        <v>2017</v>
      </c>
      <c r="C59">
        <v>418</v>
      </c>
      <c r="D59" s="6">
        <v>42920</v>
      </c>
      <c r="E59">
        <v>17</v>
      </c>
      <c r="F59" t="s">
        <v>59</v>
      </c>
      <c r="G59" t="s">
        <v>1168</v>
      </c>
      <c r="H59" t="s">
        <v>1213</v>
      </c>
      <c r="I59" t="str">
        <f>Tabla6[[#This Row],[DECRETO]]&amp;" - "&amp;Tabla6[[#This Row],[Nombre Obra]]</f>
        <v>418 - Ampliación en S/E Mahns</v>
      </c>
      <c r="J59" t="s">
        <v>154</v>
      </c>
      <c r="L59" t="s">
        <v>17</v>
      </c>
      <c r="M59" t="s">
        <v>18</v>
      </c>
      <c r="N59">
        <v>18</v>
      </c>
      <c r="O59" s="160">
        <v>43617</v>
      </c>
      <c r="P59">
        <v>110100</v>
      </c>
      <c r="Q59">
        <v>17500</v>
      </c>
      <c r="R59">
        <v>127600</v>
      </c>
      <c r="S59" t="s">
        <v>27</v>
      </c>
      <c r="T59" t="str" cm="1">
        <f t="array" ref="T59">INDEX(BASE_GRAL[ESTADO 1], MAX(IF(BASE_GRAL[ID_INDIVIDUAL]=G59, ROW(BASE_GRAL[ID_INDIVIDUAL])-MIN(ROW(BASE_GRAL[ID_INDIVIDUAL]))+1)))</f>
        <v>LICITADA</v>
      </c>
      <c r="U59" t="str" cm="1">
        <f t="array" ref="U59">INDEX(BASE_GRAL[ESTADO 2], MAX(IF(BASE_GRAL[ID_INDIVIDUAL]=G59, ROW(BASE_GRAL[ID_INDIVIDUAL])-MIN(ROW(BASE_GRAL[ID_INDIVIDUAL]))+1)))</f>
        <v>ADJUDICADA</v>
      </c>
      <c r="V59" t="str" cm="1">
        <f t="array" ref="V59">INDEX(BASE_GRAL[Proceso '[AÑO + DECRETO']], MAX(IF(BASE_GRAL[ID_INDIVIDUAL]=G59, ROW(BASE_GRAL[ID_INDIVIDUAL])-MIN(ROW(BASE_GRAL[ID_INDIVIDUAL]))+1)))</f>
        <v>1_PROCESO_OA_17</v>
      </c>
    </row>
    <row r="60" spans="1:22" x14ac:dyDescent="0.25">
      <c r="A60">
        <v>59</v>
      </c>
      <c r="B60">
        <v>2017</v>
      </c>
      <c r="C60">
        <v>418</v>
      </c>
      <c r="D60" s="6">
        <v>42920</v>
      </c>
      <c r="E60">
        <v>17</v>
      </c>
      <c r="F60" t="s">
        <v>59</v>
      </c>
      <c r="G60" t="s">
        <v>1169</v>
      </c>
      <c r="H60" t="s">
        <v>1214</v>
      </c>
      <c r="I60" t="str">
        <f>Tabla6[[#This Row],[DECRETO]]&amp;" - "&amp;Tabla6[[#This Row],[Nombre Obra]]</f>
        <v>418 - Ampliación en S/E Tomé</v>
      </c>
      <c r="J60" t="s">
        <v>154</v>
      </c>
      <c r="L60" t="s">
        <v>17</v>
      </c>
      <c r="M60" t="s">
        <v>18</v>
      </c>
      <c r="N60">
        <v>24</v>
      </c>
      <c r="O60" s="160">
        <v>43800</v>
      </c>
      <c r="P60">
        <v>46200</v>
      </c>
      <c r="Q60">
        <v>7300</v>
      </c>
      <c r="R60">
        <v>53500</v>
      </c>
      <c r="S60" t="s">
        <v>27</v>
      </c>
      <c r="T60" t="str" cm="1">
        <f t="array" ref="T60">INDEX(BASE_GRAL[ESTADO 1], MAX(IF(BASE_GRAL[ID_INDIVIDUAL]=G60, ROW(BASE_GRAL[ID_INDIVIDUAL])-MIN(ROW(BASE_GRAL[ID_INDIVIDUAL]))+1)))</f>
        <v>LICITADA</v>
      </c>
      <c r="U60" t="str" cm="1">
        <f t="array" ref="U60">INDEX(BASE_GRAL[ESTADO 2], MAX(IF(BASE_GRAL[ID_INDIVIDUAL]=G60, ROW(BASE_GRAL[ID_INDIVIDUAL])-MIN(ROW(BASE_GRAL[ID_INDIVIDUAL]))+1)))</f>
        <v>ADJUDICADA</v>
      </c>
      <c r="V60" t="str" cm="1">
        <f t="array" ref="V60">INDEX(BASE_GRAL[Proceso '[AÑO + DECRETO']], MAX(IF(BASE_GRAL[ID_INDIVIDUAL]=G60, ROW(BASE_GRAL[ID_INDIVIDUAL])-MIN(ROW(BASE_GRAL[ID_INDIVIDUAL]))+1)))</f>
        <v>1_PROCESO_OA_17</v>
      </c>
    </row>
    <row r="61" spans="1:22" x14ac:dyDescent="0.25">
      <c r="A61">
        <v>60</v>
      </c>
      <c r="B61">
        <v>2017</v>
      </c>
      <c r="C61">
        <v>418</v>
      </c>
      <c r="D61" s="6">
        <v>42920</v>
      </c>
      <c r="E61">
        <v>17</v>
      </c>
      <c r="F61" t="s">
        <v>59</v>
      </c>
      <c r="G61" t="s">
        <v>1170</v>
      </c>
      <c r="H61" t="s">
        <v>1215</v>
      </c>
      <c r="I61" t="str">
        <f>Tabla6[[#This Row],[DECRETO]]&amp;" - "&amp;Tabla6[[#This Row],[Nombre Obra]]</f>
        <v>418 - Ampliación en S/E Chiguayante</v>
      </c>
      <c r="J61" t="s">
        <v>154</v>
      </c>
      <c r="L61" t="s">
        <v>17</v>
      </c>
      <c r="M61" t="s">
        <v>18</v>
      </c>
      <c r="N61">
        <v>24</v>
      </c>
      <c r="O61" s="160">
        <v>43800</v>
      </c>
      <c r="P61">
        <v>46200</v>
      </c>
      <c r="Q61">
        <v>7300</v>
      </c>
      <c r="R61">
        <v>53500</v>
      </c>
      <c r="S61" t="s">
        <v>27</v>
      </c>
      <c r="T61" t="str" cm="1">
        <f t="array" ref="T61">INDEX(BASE_GRAL[ESTADO 1], MAX(IF(BASE_GRAL[ID_INDIVIDUAL]=G61, ROW(BASE_GRAL[ID_INDIVIDUAL])-MIN(ROW(BASE_GRAL[ID_INDIVIDUAL]))+1)))</f>
        <v>LICITADA</v>
      </c>
      <c r="U61" t="str" cm="1">
        <f t="array" ref="U61">INDEX(BASE_GRAL[ESTADO 2], MAX(IF(BASE_GRAL[ID_INDIVIDUAL]=G61, ROW(BASE_GRAL[ID_INDIVIDUAL])-MIN(ROW(BASE_GRAL[ID_INDIVIDUAL]))+1)))</f>
        <v>ADJUDICADA</v>
      </c>
      <c r="V61" t="str" cm="1">
        <f t="array" ref="V61">INDEX(BASE_GRAL[Proceso '[AÑO + DECRETO']], MAX(IF(BASE_GRAL[ID_INDIVIDUAL]=G61, ROW(BASE_GRAL[ID_INDIVIDUAL])-MIN(ROW(BASE_GRAL[ID_INDIVIDUAL]))+1)))</f>
        <v>1_PROCESO_OA_17</v>
      </c>
    </row>
    <row r="62" spans="1:22" x14ac:dyDescent="0.25">
      <c r="A62">
        <v>61</v>
      </c>
      <c r="B62">
        <v>2017</v>
      </c>
      <c r="C62">
        <v>418</v>
      </c>
      <c r="D62" s="6">
        <v>42920</v>
      </c>
      <c r="E62">
        <v>17</v>
      </c>
      <c r="F62" t="s">
        <v>59</v>
      </c>
      <c r="G62" t="s">
        <v>1171</v>
      </c>
      <c r="H62" t="s">
        <v>1216</v>
      </c>
      <c r="I62" t="str">
        <f>Tabla6[[#This Row],[DECRETO]]&amp;" - "&amp;Tabla6[[#This Row],[Nombre Obra]]</f>
        <v>418 - Ampliación en S/E Ejercito</v>
      </c>
      <c r="J62" t="s">
        <v>154</v>
      </c>
      <c r="L62" t="s">
        <v>17</v>
      </c>
      <c r="M62" t="s">
        <v>18</v>
      </c>
      <c r="N62">
        <v>18</v>
      </c>
      <c r="O62" s="160">
        <v>43617</v>
      </c>
      <c r="P62">
        <v>524800</v>
      </c>
      <c r="Q62">
        <v>83300</v>
      </c>
      <c r="R62">
        <v>608100</v>
      </c>
      <c r="S62" t="s">
        <v>27</v>
      </c>
      <c r="T62" t="str" cm="1">
        <f t="array" ref="T62">INDEX(BASE_GRAL[ESTADO 1], MAX(IF(BASE_GRAL[ID_INDIVIDUAL]=G62, ROW(BASE_GRAL[ID_INDIVIDUAL])-MIN(ROW(BASE_GRAL[ID_INDIVIDUAL]))+1)))</f>
        <v>LICITADA</v>
      </c>
      <c r="U62" t="str" cm="1">
        <f t="array" ref="U62">INDEX(BASE_GRAL[ESTADO 2], MAX(IF(BASE_GRAL[ID_INDIVIDUAL]=G62, ROW(BASE_GRAL[ID_INDIVIDUAL])-MIN(ROW(BASE_GRAL[ID_INDIVIDUAL]))+1)))</f>
        <v>ADJUDICADA</v>
      </c>
      <c r="V62" t="str" cm="1">
        <f t="array" ref="V62">INDEX(BASE_GRAL[Proceso '[AÑO + DECRETO']], MAX(IF(BASE_GRAL[ID_INDIVIDUAL]=G62, ROW(BASE_GRAL[ID_INDIVIDUAL])-MIN(ROW(BASE_GRAL[ID_INDIVIDUAL]))+1)))</f>
        <v>1_PROCESO_OA_17</v>
      </c>
    </row>
    <row r="63" spans="1:22" x14ac:dyDescent="0.25">
      <c r="A63">
        <v>62</v>
      </c>
      <c r="B63">
        <v>2017</v>
      </c>
      <c r="C63">
        <v>418</v>
      </c>
      <c r="D63" s="6">
        <v>42920</v>
      </c>
      <c r="E63">
        <v>17</v>
      </c>
      <c r="F63" t="s">
        <v>59</v>
      </c>
      <c r="G63" t="s">
        <v>1172</v>
      </c>
      <c r="H63" t="s">
        <v>1217</v>
      </c>
      <c r="I63" t="str">
        <f>Tabla6[[#This Row],[DECRETO]]&amp;" - "&amp;Tabla6[[#This Row],[Nombre Obra]]</f>
        <v>418 - Ampliación en S/E Pitrufquén</v>
      </c>
      <c r="J63" t="s">
        <v>154</v>
      </c>
      <c r="L63" t="s">
        <v>17</v>
      </c>
      <c r="M63" t="s">
        <v>18</v>
      </c>
      <c r="N63">
        <v>24</v>
      </c>
      <c r="O63" s="160">
        <v>43800</v>
      </c>
      <c r="P63">
        <v>477800</v>
      </c>
      <c r="Q63">
        <v>75800</v>
      </c>
      <c r="R63">
        <v>553600</v>
      </c>
      <c r="S63" t="s">
        <v>27</v>
      </c>
      <c r="T63" t="str" cm="1">
        <f t="array" ref="T63">INDEX(BASE_GRAL[ESTADO 1], MAX(IF(BASE_GRAL[ID_INDIVIDUAL]=G63, ROW(BASE_GRAL[ID_INDIVIDUAL])-MIN(ROW(BASE_GRAL[ID_INDIVIDUAL]))+1)))</f>
        <v>LICITADA</v>
      </c>
      <c r="U63" t="str" cm="1">
        <f t="array" ref="U63">INDEX(BASE_GRAL[ESTADO 2], MAX(IF(BASE_GRAL[ID_INDIVIDUAL]=G63, ROW(BASE_GRAL[ID_INDIVIDUAL])-MIN(ROW(BASE_GRAL[ID_INDIVIDUAL]))+1)))</f>
        <v>ADJUDICADA</v>
      </c>
      <c r="V63" t="str" cm="1">
        <f t="array" ref="V63">INDEX(BASE_GRAL[Proceso '[AÑO + DECRETO']], MAX(IF(BASE_GRAL[ID_INDIVIDUAL]=G63, ROW(BASE_GRAL[ID_INDIVIDUAL])-MIN(ROW(BASE_GRAL[ID_INDIVIDUAL]))+1)))</f>
        <v>2_PROCESO_OA_18</v>
      </c>
    </row>
    <row r="64" spans="1:22" x14ac:dyDescent="0.25">
      <c r="A64">
        <v>63</v>
      </c>
      <c r="B64">
        <v>2017</v>
      </c>
      <c r="C64">
        <v>418</v>
      </c>
      <c r="D64" s="6">
        <v>42920</v>
      </c>
      <c r="E64">
        <v>17</v>
      </c>
      <c r="F64" t="s">
        <v>59</v>
      </c>
      <c r="G64" t="s">
        <v>1173</v>
      </c>
      <c r="H64" t="s">
        <v>1218</v>
      </c>
      <c r="I64" t="str">
        <f>Tabla6[[#This Row],[DECRETO]]&amp;" - "&amp;Tabla6[[#This Row],[Nombre Obra]]</f>
        <v>418 - Ampliación en S/E Curacautín</v>
      </c>
      <c r="J64" t="s">
        <v>154</v>
      </c>
      <c r="L64" t="s">
        <v>17</v>
      </c>
      <c r="M64" t="s">
        <v>18</v>
      </c>
      <c r="N64">
        <v>18</v>
      </c>
      <c r="O64" s="160">
        <v>43617</v>
      </c>
      <c r="P64">
        <v>197500</v>
      </c>
      <c r="Q64">
        <v>31300</v>
      </c>
      <c r="R64">
        <v>228800</v>
      </c>
      <c r="S64" t="s">
        <v>27</v>
      </c>
      <c r="T64" t="str" cm="1">
        <f t="array" ref="T64">INDEX(BASE_GRAL[ESTADO 1], MAX(IF(BASE_GRAL[ID_INDIVIDUAL]=G64, ROW(BASE_GRAL[ID_INDIVIDUAL])-MIN(ROW(BASE_GRAL[ID_INDIVIDUAL]))+1)))</f>
        <v>LICITADA</v>
      </c>
      <c r="U64" t="str" cm="1">
        <f t="array" ref="U64">INDEX(BASE_GRAL[ESTADO 2], MAX(IF(BASE_GRAL[ID_INDIVIDUAL]=G64, ROW(BASE_GRAL[ID_INDIVIDUAL])-MIN(ROW(BASE_GRAL[ID_INDIVIDUAL]))+1)))</f>
        <v>DESIERTA - POR VMAX</v>
      </c>
      <c r="V64" t="str" cm="1">
        <f t="array" ref="V64">INDEX(BASE_GRAL[Proceso '[AÑO + DECRETO']], MAX(IF(BASE_GRAL[ID_INDIVIDUAL]=G64, ROW(BASE_GRAL[ID_INDIVIDUAL])-MIN(ROW(BASE_GRAL[ID_INDIVIDUAL]))+1)))</f>
        <v>2_PROCESO_OA_18</v>
      </c>
    </row>
    <row r="65" spans="1:22" x14ac:dyDescent="0.25">
      <c r="A65">
        <v>64</v>
      </c>
      <c r="B65">
        <v>2017</v>
      </c>
      <c r="C65">
        <v>418</v>
      </c>
      <c r="D65" s="6">
        <v>42920</v>
      </c>
      <c r="E65">
        <v>17</v>
      </c>
      <c r="F65" t="s">
        <v>59</v>
      </c>
      <c r="G65" t="s">
        <v>1174</v>
      </c>
      <c r="H65" t="s">
        <v>1219</v>
      </c>
      <c r="I65" t="str">
        <f>Tabla6[[#This Row],[DECRETO]]&amp;" - "&amp;Tabla6[[#This Row],[Nombre Obra]]</f>
        <v>418 - Ampliación en S/E Collipulli</v>
      </c>
      <c r="J65" t="s">
        <v>154</v>
      </c>
      <c r="L65" t="s">
        <v>17</v>
      </c>
      <c r="M65" t="s">
        <v>18</v>
      </c>
      <c r="N65">
        <v>18</v>
      </c>
      <c r="O65" s="160">
        <v>43617</v>
      </c>
      <c r="P65">
        <v>148800</v>
      </c>
      <c r="Q65">
        <v>23600</v>
      </c>
      <c r="R65">
        <v>172400</v>
      </c>
      <c r="S65" t="s">
        <v>27</v>
      </c>
      <c r="T65" t="str" cm="1">
        <f t="array" ref="T65">INDEX(BASE_GRAL[ESTADO 1], MAX(IF(BASE_GRAL[ID_INDIVIDUAL]=G65, ROW(BASE_GRAL[ID_INDIVIDUAL])-MIN(ROW(BASE_GRAL[ID_INDIVIDUAL]))+1)))</f>
        <v>LICITADA</v>
      </c>
      <c r="U65" t="str" cm="1">
        <f t="array" ref="U65">INDEX(BASE_GRAL[ESTADO 2], MAX(IF(BASE_GRAL[ID_INDIVIDUAL]=G65, ROW(BASE_GRAL[ID_INDIVIDUAL])-MIN(ROW(BASE_GRAL[ID_INDIVIDUAL]))+1)))</f>
        <v>DESIERTA - POR VMAX</v>
      </c>
      <c r="V65" t="str" cm="1">
        <f t="array" ref="V65">INDEX(BASE_GRAL[Proceso '[AÑO + DECRETO']], MAX(IF(BASE_GRAL[ID_INDIVIDUAL]=G65, ROW(BASE_GRAL[ID_INDIVIDUAL])-MIN(ROW(BASE_GRAL[ID_INDIVIDUAL]))+1)))</f>
        <v>2_PROCESO_OA_18</v>
      </c>
    </row>
    <row r="66" spans="1:22" x14ac:dyDescent="0.25">
      <c r="A66">
        <v>65</v>
      </c>
      <c r="B66">
        <v>2017</v>
      </c>
      <c r="C66">
        <v>418</v>
      </c>
      <c r="D66" s="6">
        <v>42920</v>
      </c>
      <c r="E66">
        <v>17</v>
      </c>
      <c r="F66" t="s">
        <v>59</v>
      </c>
      <c r="G66" t="s">
        <v>1175</v>
      </c>
      <c r="H66" t="s">
        <v>728</v>
      </c>
      <c r="I66" t="str">
        <f>Tabla6[[#This Row],[DECRETO]]&amp;" - "&amp;Tabla6[[#This Row],[Nombre Obra]]</f>
        <v>418 - Ampliación en S/E Lautaro</v>
      </c>
      <c r="J66" t="s">
        <v>154</v>
      </c>
      <c r="L66" t="s">
        <v>17</v>
      </c>
      <c r="M66" t="s">
        <v>18</v>
      </c>
      <c r="N66">
        <v>18</v>
      </c>
      <c r="O66" s="160">
        <v>43617</v>
      </c>
      <c r="P66">
        <v>173200</v>
      </c>
      <c r="Q66">
        <v>27500</v>
      </c>
      <c r="R66">
        <v>200700</v>
      </c>
      <c r="S66" t="s">
        <v>27</v>
      </c>
      <c r="T66" t="str" cm="1">
        <f t="array" ref="T66">INDEX(BASE_GRAL[ESTADO 1], MAX(IF(BASE_GRAL[ID_INDIVIDUAL]=G66, ROW(BASE_GRAL[ID_INDIVIDUAL])-MIN(ROW(BASE_GRAL[ID_INDIVIDUAL]))+1)))</f>
        <v>LICITADA</v>
      </c>
      <c r="U66" t="str" cm="1">
        <f t="array" ref="U66">INDEX(BASE_GRAL[ESTADO 2], MAX(IF(BASE_GRAL[ID_INDIVIDUAL]=G66, ROW(BASE_GRAL[ID_INDIVIDUAL])-MIN(ROW(BASE_GRAL[ID_INDIVIDUAL]))+1)))</f>
        <v>DESIERTA - POR VMAX</v>
      </c>
      <c r="V66" t="str" cm="1">
        <f t="array" ref="V66">INDEX(BASE_GRAL[Proceso '[AÑO + DECRETO']], MAX(IF(BASE_GRAL[ID_INDIVIDUAL]=G66, ROW(BASE_GRAL[ID_INDIVIDUAL])-MIN(ROW(BASE_GRAL[ID_INDIVIDUAL]))+1)))</f>
        <v>2_PROCESO_OA_18</v>
      </c>
    </row>
    <row r="67" spans="1:22" x14ac:dyDescent="0.25">
      <c r="A67">
        <v>66</v>
      </c>
      <c r="B67">
        <v>2017</v>
      </c>
      <c r="C67">
        <v>418</v>
      </c>
      <c r="D67" s="6">
        <v>42920</v>
      </c>
      <c r="E67">
        <v>17</v>
      </c>
      <c r="F67" t="s">
        <v>59</v>
      </c>
      <c r="G67" t="s">
        <v>1176</v>
      </c>
      <c r="H67" t="s">
        <v>1220</v>
      </c>
      <c r="I67" t="str">
        <f>Tabla6[[#This Row],[DECRETO]]&amp;" - "&amp;Tabla6[[#This Row],[Nombre Obra]]</f>
        <v>418 - Ampliación en S/E Padre las Casas</v>
      </c>
      <c r="J67" t="s">
        <v>154</v>
      </c>
      <c r="L67" t="s">
        <v>17</v>
      </c>
      <c r="M67" t="s">
        <v>18</v>
      </c>
      <c r="N67">
        <v>24</v>
      </c>
      <c r="O67" s="160">
        <v>43800</v>
      </c>
      <c r="P67">
        <v>532600</v>
      </c>
      <c r="Q67">
        <v>84500</v>
      </c>
      <c r="R67">
        <v>617100</v>
      </c>
      <c r="S67" t="s">
        <v>27</v>
      </c>
      <c r="T67" t="str" cm="1">
        <f t="array" ref="T67">INDEX(BASE_GRAL[ESTADO 1], MAX(IF(BASE_GRAL[ID_INDIVIDUAL]=G67, ROW(BASE_GRAL[ID_INDIVIDUAL])-MIN(ROW(BASE_GRAL[ID_INDIVIDUAL]))+1)))</f>
        <v>LICITADA</v>
      </c>
      <c r="U67" t="str" cm="1">
        <f t="array" ref="U67">INDEX(BASE_GRAL[ESTADO 2], MAX(IF(BASE_GRAL[ID_INDIVIDUAL]=G67, ROW(BASE_GRAL[ID_INDIVIDUAL])-MIN(ROW(BASE_GRAL[ID_INDIVIDUAL]))+1)))</f>
        <v>ADJUDICADA</v>
      </c>
      <c r="V67" t="str" cm="1">
        <f t="array" ref="V67">INDEX(BASE_GRAL[Proceso '[AÑO + DECRETO']], MAX(IF(BASE_GRAL[ID_INDIVIDUAL]=G67, ROW(BASE_GRAL[ID_INDIVIDUAL])-MIN(ROW(BASE_GRAL[ID_INDIVIDUAL]))+1)))</f>
        <v>2_PROCESO_OA_18</v>
      </c>
    </row>
    <row r="68" spans="1:22" x14ac:dyDescent="0.25">
      <c r="A68">
        <v>67</v>
      </c>
      <c r="B68">
        <v>2017</v>
      </c>
      <c r="C68">
        <v>418</v>
      </c>
      <c r="D68" s="6">
        <v>42920</v>
      </c>
      <c r="E68">
        <v>18</v>
      </c>
      <c r="F68" t="s">
        <v>100</v>
      </c>
      <c r="G68" t="s">
        <v>1177</v>
      </c>
      <c r="H68" t="s">
        <v>1221</v>
      </c>
      <c r="I68" t="str">
        <f>Tabla6[[#This Row],[DECRETO]]&amp;" - "&amp;Tabla6[[#This Row],[Nombre Obra]]</f>
        <v>418 - Ampliación en S/E Nueva Valdivia</v>
      </c>
      <c r="J68" t="s">
        <v>154</v>
      </c>
      <c r="L68" t="s">
        <v>17</v>
      </c>
      <c r="M68" t="s">
        <v>18</v>
      </c>
      <c r="N68">
        <v>36</v>
      </c>
      <c r="O68" s="160">
        <v>44166</v>
      </c>
      <c r="P68">
        <v>715700</v>
      </c>
      <c r="Q68">
        <v>113500</v>
      </c>
      <c r="R68">
        <v>829200</v>
      </c>
      <c r="S68" t="s">
        <v>27</v>
      </c>
      <c r="T68" t="str" cm="1">
        <f t="array" ref="T68">INDEX(BASE_GRAL[ESTADO 1], MAX(IF(BASE_GRAL[ID_INDIVIDUAL]=G68, ROW(BASE_GRAL[ID_INDIVIDUAL])-MIN(ROW(BASE_GRAL[ID_INDIVIDUAL]))+1)))</f>
        <v>LICITADA</v>
      </c>
      <c r="U68" t="str" cm="1">
        <f t="array" ref="U68">INDEX(BASE_GRAL[ESTADO 2], MAX(IF(BASE_GRAL[ID_INDIVIDUAL]=G68, ROW(BASE_GRAL[ID_INDIVIDUAL])-MIN(ROW(BASE_GRAL[ID_INDIVIDUAL]))+1)))</f>
        <v>DESIERTA - POR VMAX</v>
      </c>
      <c r="V68" t="str" cm="1">
        <f t="array" ref="V68">INDEX(BASE_GRAL[Proceso '[AÑO + DECRETO']], MAX(IF(BASE_GRAL[ID_INDIVIDUAL]=G68, ROW(BASE_GRAL[ID_INDIVIDUAL])-MIN(ROW(BASE_GRAL[ID_INDIVIDUAL]))+1)))</f>
        <v>2_PROCESO_OA_18</v>
      </c>
    </row>
    <row r="69" spans="1:22" x14ac:dyDescent="0.25">
      <c r="A69">
        <v>68</v>
      </c>
      <c r="B69">
        <v>2018</v>
      </c>
      <c r="C69">
        <v>293</v>
      </c>
      <c r="D69" s="6">
        <v>43433</v>
      </c>
      <c r="E69">
        <v>1</v>
      </c>
      <c r="G69" t="s">
        <v>1392</v>
      </c>
      <c r="H69" t="s">
        <v>600</v>
      </c>
      <c r="I69" t="str">
        <f>Tabla6[[#This Row],[DECRETO]]&amp;" - "&amp;Tabla6[[#This Row],[Nombre Obra]]</f>
        <v>293 - Ampliación en S/E Lagunas</v>
      </c>
      <c r="J69" t="s">
        <v>1257</v>
      </c>
      <c r="L69" t="s">
        <v>388</v>
      </c>
      <c r="M69" t="s">
        <v>18</v>
      </c>
      <c r="N69">
        <v>24</v>
      </c>
      <c r="O69" s="160">
        <v>0</v>
      </c>
      <c r="P69">
        <v>2442560</v>
      </c>
      <c r="Q69">
        <v>39080.959999999999</v>
      </c>
      <c r="R69">
        <v>2481640.96</v>
      </c>
      <c r="S69" t="s">
        <v>34</v>
      </c>
      <c r="T69" t="str" cm="1">
        <f t="array" ref="T69">INDEX(BASE_GRAL[ESTADO 1], MAX(IF(BASE_GRAL[ID_INDIVIDUAL]=G69, ROW(BASE_GRAL[ID_INDIVIDUAL])-MIN(ROW(BASE_GRAL[ID_INDIVIDUAL]))+1)))</f>
        <v>LICITADA</v>
      </c>
      <c r="U69" t="str" cm="1">
        <f t="array" ref="U69">INDEX(BASE_GRAL[ESTADO 2], MAX(IF(BASE_GRAL[ID_INDIVIDUAL]=G69, ROW(BASE_GRAL[ID_INDIVIDUAL])-MIN(ROW(BASE_GRAL[ID_INDIVIDUAL]))+1)))</f>
        <v>ADJUDICADA</v>
      </c>
      <c r="V69" t="str" cm="1">
        <f t="array" ref="V69">INDEX(BASE_GRAL[Proceso '[AÑO + DECRETO']], MAX(IF(BASE_GRAL[ID_INDIVIDUAL]=G69, ROW(BASE_GRAL[ID_INDIVIDUAL])-MIN(ROW(BASE_GRAL[ID_INDIVIDUAL]))+1)))</f>
        <v>3_PROCESO_ON_19</v>
      </c>
    </row>
    <row r="70" spans="1:22" x14ac:dyDescent="0.25">
      <c r="A70">
        <v>69</v>
      </c>
      <c r="B70">
        <v>2018</v>
      </c>
      <c r="C70">
        <v>293</v>
      </c>
      <c r="D70" s="6">
        <v>43433</v>
      </c>
      <c r="E70">
        <v>2</v>
      </c>
      <c r="F70" t="s">
        <v>28</v>
      </c>
      <c r="G70" t="s">
        <v>1379</v>
      </c>
      <c r="H70" t="s">
        <v>620</v>
      </c>
      <c r="I70" t="str">
        <f>Tabla6[[#This Row],[DECRETO]]&amp;" - "&amp;Tabla6[[#This Row],[Nombre Obra]]</f>
        <v>293 - Ampliación en S/E Caldera</v>
      </c>
      <c r="J70" t="s">
        <v>154</v>
      </c>
      <c r="L70" t="s">
        <v>388</v>
      </c>
      <c r="M70" t="s">
        <v>18</v>
      </c>
      <c r="N70">
        <v>24</v>
      </c>
      <c r="O70" s="160">
        <v>0</v>
      </c>
      <c r="P70">
        <v>2576574</v>
      </c>
      <c r="Q70">
        <v>41225.184000000001</v>
      </c>
      <c r="R70">
        <v>2617799.1839999999</v>
      </c>
      <c r="S70" t="s">
        <v>27</v>
      </c>
      <c r="T70" t="str" cm="1">
        <f t="array" ref="T70">INDEX(BASE_GRAL[ESTADO 1], MAX(IF(BASE_GRAL[ID_INDIVIDUAL]=G70, ROW(BASE_GRAL[ID_INDIVIDUAL])-MIN(ROW(BASE_GRAL[ID_INDIVIDUAL]))+1)))</f>
        <v>LICITADA</v>
      </c>
      <c r="U70" t="str" cm="1">
        <f t="array" ref="U70">INDEX(BASE_GRAL[ESTADO 2], MAX(IF(BASE_GRAL[ID_INDIVIDUAL]=G70, ROW(BASE_GRAL[ID_INDIVIDUAL])-MIN(ROW(BASE_GRAL[ID_INDIVIDUAL]))+1)))</f>
        <v>DESIERTA - SIN OFERTAS</v>
      </c>
      <c r="V70" t="str" cm="1">
        <f t="array" ref="V70">INDEX(BASE_GRAL[Proceso '[AÑO + DECRETO']], MAX(IF(BASE_GRAL[ID_INDIVIDUAL]=G70, ROW(BASE_GRAL[ID_INDIVIDUAL])-MIN(ROW(BASE_GRAL[ID_INDIVIDUAL]))+1)))</f>
        <v>3_PROCESO_ON_19</v>
      </c>
    </row>
    <row r="71" spans="1:22" x14ac:dyDescent="0.25">
      <c r="A71">
        <v>70</v>
      </c>
      <c r="B71">
        <v>2018</v>
      </c>
      <c r="C71">
        <v>293</v>
      </c>
      <c r="D71" s="6">
        <v>43433</v>
      </c>
      <c r="E71">
        <v>1</v>
      </c>
      <c r="G71" t="s">
        <v>1393</v>
      </c>
      <c r="H71" t="s">
        <v>605</v>
      </c>
      <c r="I71" t="str">
        <f>Tabla6[[#This Row],[DECRETO]]&amp;" - "&amp;Tabla6[[#This Row],[Nombre Obra]]</f>
        <v>293 - Aumento de Capacidad de Línea 2x220 kV Nueva Puerto Montt - Puerto Montt y Ampliación en S/E Nueva Puerto Montt</v>
      </c>
      <c r="J71" t="s">
        <v>1257</v>
      </c>
      <c r="L71" t="s">
        <v>17</v>
      </c>
      <c r="M71" t="s">
        <v>1260</v>
      </c>
      <c r="N71">
        <v>30</v>
      </c>
      <c r="O71" s="160">
        <v>0</v>
      </c>
      <c r="P71">
        <v>3880098</v>
      </c>
      <c r="Q71">
        <v>62081.567999999999</v>
      </c>
      <c r="R71">
        <v>3942179.568</v>
      </c>
      <c r="S71" t="s">
        <v>34</v>
      </c>
      <c r="T71" t="str" cm="1">
        <f t="array" ref="T71">INDEX(BASE_GRAL[ESTADO 1], MAX(IF(BASE_GRAL[ID_INDIVIDUAL]=G71, ROW(BASE_GRAL[ID_INDIVIDUAL])-MIN(ROW(BASE_GRAL[ID_INDIVIDUAL]))+1)))</f>
        <v>LICITADA</v>
      </c>
      <c r="U71" t="str" cm="1">
        <f t="array" ref="U71">INDEX(BASE_GRAL[ESTADO 2], MAX(IF(BASE_GRAL[ID_INDIVIDUAL]=G71, ROW(BASE_GRAL[ID_INDIVIDUAL])-MIN(ROW(BASE_GRAL[ID_INDIVIDUAL]))+1)))</f>
        <v>ADJUDICADA</v>
      </c>
      <c r="V71" t="str" cm="1">
        <f t="array" ref="V71">INDEX(BASE_GRAL[Proceso '[AÑO + DECRETO']], MAX(IF(BASE_GRAL[ID_INDIVIDUAL]=G71, ROW(BASE_GRAL[ID_INDIVIDUAL])-MIN(ROW(BASE_GRAL[ID_INDIVIDUAL]))+1)))</f>
        <v>3_PROCESO_OA_19</v>
      </c>
    </row>
    <row r="72" spans="1:22" x14ac:dyDescent="0.25">
      <c r="A72">
        <v>71</v>
      </c>
      <c r="B72">
        <v>2018</v>
      </c>
      <c r="C72">
        <v>293</v>
      </c>
      <c r="D72" s="6">
        <v>43433</v>
      </c>
      <c r="E72">
        <v>1</v>
      </c>
      <c r="G72" t="s">
        <v>1394</v>
      </c>
      <c r="H72" t="s">
        <v>612</v>
      </c>
      <c r="I72" t="str">
        <f>Tabla6[[#This Row],[DECRETO]]&amp;" - "&amp;Tabla6[[#This Row],[Nombre Obra]]</f>
        <v>293 - Aumento de Capacidad de Línea 2x220 kV Ciruelos - Cautín</v>
      </c>
      <c r="J72" t="s">
        <v>1257</v>
      </c>
      <c r="L72" t="s">
        <v>17</v>
      </c>
      <c r="M72" t="s">
        <v>18</v>
      </c>
      <c r="N72">
        <v>36</v>
      </c>
      <c r="O72" s="160">
        <v>0</v>
      </c>
      <c r="P72">
        <v>10347562</v>
      </c>
      <c r="Q72">
        <v>165560.992</v>
      </c>
      <c r="R72">
        <v>10513122.992000001</v>
      </c>
      <c r="S72" t="s">
        <v>34</v>
      </c>
      <c r="T72" t="str" cm="1">
        <f t="array" ref="T72">INDEX(BASE_GRAL[ESTADO 1], MAX(IF(BASE_GRAL[ID_INDIVIDUAL]=G72, ROW(BASE_GRAL[ID_INDIVIDUAL])-MIN(ROW(BASE_GRAL[ID_INDIVIDUAL]))+1)))</f>
        <v>LICITADA</v>
      </c>
      <c r="U72" t="str" cm="1">
        <f t="array" ref="U72">INDEX(BASE_GRAL[ESTADO 2], MAX(IF(BASE_GRAL[ID_INDIVIDUAL]=G72, ROW(BASE_GRAL[ID_INDIVIDUAL])-MIN(ROW(BASE_GRAL[ID_INDIVIDUAL]))+1)))</f>
        <v>ADJUDICADA</v>
      </c>
      <c r="V72" t="str" cm="1">
        <f t="array" ref="V72">INDEX(BASE_GRAL[Proceso '[AÑO + DECRETO']], MAX(IF(BASE_GRAL[ID_INDIVIDUAL]=G72, ROW(BASE_GRAL[ID_INDIVIDUAL])-MIN(ROW(BASE_GRAL[ID_INDIVIDUAL]))+1)))</f>
        <v>3_PROCESO_OA_19</v>
      </c>
    </row>
    <row r="73" spans="1:22" x14ac:dyDescent="0.25">
      <c r="A73">
        <v>72</v>
      </c>
      <c r="B73">
        <v>2018</v>
      </c>
      <c r="C73">
        <v>293</v>
      </c>
      <c r="D73" s="6">
        <v>43433</v>
      </c>
      <c r="E73">
        <v>2</v>
      </c>
      <c r="F73" t="s">
        <v>28</v>
      </c>
      <c r="G73" t="s">
        <v>1395</v>
      </c>
      <c r="H73" t="s">
        <v>616</v>
      </c>
      <c r="I73" t="str">
        <f>Tabla6[[#This Row],[DECRETO]]&amp;" - "&amp;Tabla6[[#This Row],[Nombre Obra]]</f>
        <v>293 - Doble vinculación Transformador N°1 220/110 kV en S/E Cardones</v>
      </c>
      <c r="J73" t="s">
        <v>154</v>
      </c>
      <c r="L73" t="s">
        <v>17</v>
      </c>
      <c r="M73" t="s">
        <v>18</v>
      </c>
      <c r="N73">
        <v>24</v>
      </c>
      <c r="O73" s="160">
        <v>0</v>
      </c>
      <c r="P73">
        <v>6803965</v>
      </c>
      <c r="Q73">
        <v>108863.44</v>
      </c>
      <c r="R73">
        <v>6912828.4400000004</v>
      </c>
      <c r="S73" t="s">
        <v>34</v>
      </c>
      <c r="T73" t="str" cm="1">
        <f t="array" ref="T73">INDEX(BASE_GRAL[ESTADO 1], MAX(IF(BASE_GRAL[ID_INDIVIDUAL]=G73, ROW(BASE_GRAL[ID_INDIVIDUAL])-MIN(ROW(BASE_GRAL[ID_INDIVIDUAL]))+1)))</f>
        <v>LICITADA</v>
      </c>
      <c r="U73" t="str" cm="1">
        <f t="array" ref="U73">INDEX(BASE_GRAL[ESTADO 2], MAX(IF(BASE_GRAL[ID_INDIVIDUAL]=G73, ROW(BASE_GRAL[ID_INDIVIDUAL])-MIN(ROW(BASE_GRAL[ID_INDIVIDUAL]))+1)))</f>
        <v>ADJUDICADA</v>
      </c>
      <c r="V73" t="str" cm="1">
        <f t="array" ref="V73">INDEX(BASE_GRAL[Proceso '[AÑO + DECRETO']], MAX(IF(BASE_GRAL[ID_INDIVIDUAL]=G73, ROW(BASE_GRAL[ID_INDIVIDUAL])-MIN(ROW(BASE_GRAL[ID_INDIVIDUAL]))+1)))</f>
        <v>3_PROCESO_OA_19</v>
      </c>
    </row>
    <row r="74" spans="1:22" x14ac:dyDescent="0.25">
      <c r="A74">
        <v>73</v>
      </c>
      <c r="B74">
        <v>2018</v>
      </c>
      <c r="C74">
        <v>293</v>
      </c>
      <c r="D74" s="6">
        <v>43433</v>
      </c>
      <c r="E74">
        <v>2</v>
      </c>
      <c r="F74" t="s">
        <v>28</v>
      </c>
      <c r="G74" t="s">
        <v>1380</v>
      </c>
      <c r="H74" t="s">
        <v>624</v>
      </c>
      <c r="I74" t="str">
        <f>Tabla6[[#This Row],[DECRETO]]&amp;" - "&amp;Tabla6[[#This Row],[Nombre Obra]]</f>
        <v>293 - Ampliación en S/E Cerrillos</v>
      </c>
      <c r="J74" t="s">
        <v>154</v>
      </c>
      <c r="L74" t="s">
        <v>388</v>
      </c>
      <c r="M74" t="s">
        <v>18</v>
      </c>
      <c r="N74">
        <v>24</v>
      </c>
      <c r="O74" s="160">
        <v>0</v>
      </c>
      <c r="P74">
        <v>3387459</v>
      </c>
      <c r="Q74">
        <v>54199.344000000005</v>
      </c>
      <c r="R74">
        <v>3441658.344</v>
      </c>
      <c r="S74" t="s">
        <v>27</v>
      </c>
      <c r="T74" t="str" cm="1">
        <f t="array" ref="T74">INDEX(BASE_GRAL[ESTADO 1], MAX(IF(BASE_GRAL[ID_INDIVIDUAL]=G74, ROW(BASE_GRAL[ID_INDIVIDUAL])-MIN(ROW(BASE_GRAL[ID_INDIVIDUAL]))+1)))</f>
        <v>LICITADA</v>
      </c>
      <c r="U74" t="str" cm="1">
        <f t="array" ref="U74">INDEX(BASE_GRAL[ESTADO 2], MAX(IF(BASE_GRAL[ID_INDIVIDUAL]=G74, ROW(BASE_GRAL[ID_INDIVIDUAL])-MIN(ROW(BASE_GRAL[ID_INDIVIDUAL]))+1)))</f>
        <v>DESIERTA - SIN OFERTAS</v>
      </c>
      <c r="V74" t="str" cm="1">
        <f t="array" ref="V74">INDEX(BASE_GRAL[Proceso '[AÑO + DECRETO']], MAX(IF(BASE_GRAL[ID_INDIVIDUAL]=G74, ROW(BASE_GRAL[ID_INDIVIDUAL])-MIN(ROW(BASE_GRAL[ID_INDIVIDUAL]))+1)))</f>
        <v>3_PROCESO_ON_19</v>
      </c>
    </row>
    <row r="75" spans="1:22" x14ac:dyDescent="0.25">
      <c r="A75">
        <v>74</v>
      </c>
      <c r="B75">
        <v>2018</v>
      </c>
      <c r="C75">
        <v>293</v>
      </c>
      <c r="D75" s="6">
        <v>43433</v>
      </c>
      <c r="E75">
        <v>2</v>
      </c>
      <c r="F75" t="s">
        <v>28</v>
      </c>
      <c r="G75" t="s">
        <v>1381</v>
      </c>
      <c r="H75" t="s">
        <v>628</v>
      </c>
      <c r="I75" t="str">
        <f>Tabla6[[#This Row],[DECRETO]]&amp;" - "&amp;Tabla6[[#This Row],[Nombre Obra]]</f>
        <v>293 - Ampliación en S/E Atacama Kozán</v>
      </c>
      <c r="J75" t="s">
        <v>154</v>
      </c>
      <c r="L75" t="s">
        <v>388</v>
      </c>
      <c r="M75" t="s">
        <v>18</v>
      </c>
      <c r="N75">
        <v>24</v>
      </c>
      <c r="O75" s="160">
        <v>0</v>
      </c>
      <c r="P75">
        <v>965200</v>
      </c>
      <c r="Q75">
        <v>15443.2</v>
      </c>
      <c r="R75">
        <v>980643.2</v>
      </c>
      <c r="S75" t="s">
        <v>629</v>
      </c>
      <c r="T75" t="str" cm="1">
        <f t="array" ref="T75">INDEX(BASE_GRAL[ESTADO 1], MAX(IF(BASE_GRAL[ID_INDIVIDUAL]=G75, ROW(BASE_GRAL[ID_INDIVIDUAL])-MIN(ROW(BASE_GRAL[ID_INDIVIDUAL]))+1)))</f>
        <v>LICITADA</v>
      </c>
      <c r="U75" t="str" cm="1">
        <f t="array" ref="U75">INDEX(BASE_GRAL[ESTADO 2], MAX(IF(BASE_GRAL[ID_INDIVIDUAL]=G75, ROW(BASE_GRAL[ID_INDIVIDUAL])-MIN(ROW(BASE_GRAL[ID_INDIVIDUAL]))+1)))</f>
        <v>DESIERTA - SIN OFERTAS</v>
      </c>
      <c r="V75" t="str" cm="1">
        <f t="array" ref="V75">INDEX(BASE_GRAL[Proceso '[AÑO + DECRETO']], MAX(IF(BASE_GRAL[ID_INDIVIDUAL]=G75, ROW(BASE_GRAL[ID_INDIVIDUAL])-MIN(ROW(BASE_GRAL[ID_INDIVIDUAL]))+1)))</f>
        <v>3_PROCESO_ON_19</v>
      </c>
    </row>
    <row r="76" spans="1:22" x14ac:dyDescent="0.25">
      <c r="A76">
        <v>75</v>
      </c>
      <c r="B76">
        <v>2018</v>
      </c>
      <c r="C76">
        <v>293</v>
      </c>
      <c r="D76" s="6">
        <v>43433</v>
      </c>
      <c r="E76">
        <v>1</v>
      </c>
      <c r="G76" t="s">
        <v>1396</v>
      </c>
      <c r="H76" t="s">
        <v>595</v>
      </c>
      <c r="I76" t="str">
        <f>Tabla6[[#This Row],[DECRETO]]&amp;" - "&amp;Tabla6[[#This Row],[Nombre Obra]]</f>
        <v>293 - Ampliación en S/E Candelaria</v>
      </c>
      <c r="J76" t="s">
        <v>1257</v>
      </c>
      <c r="L76" t="s">
        <v>388</v>
      </c>
      <c r="M76" t="s">
        <v>18</v>
      </c>
      <c r="N76">
        <v>24</v>
      </c>
      <c r="O76" s="160">
        <v>0</v>
      </c>
      <c r="P76">
        <v>1796534</v>
      </c>
      <c r="Q76">
        <v>28744.544000000002</v>
      </c>
      <c r="R76">
        <v>1825278.544</v>
      </c>
      <c r="S76" t="s">
        <v>597</v>
      </c>
      <c r="T76" t="str" cm="1">
        <f t="array" ref="T76">INDEX(BASE_GRAL[ESTADO 1], MAX(IF(BASE_GRAL[ID_INDIVIDUAL]=G76, ROW(BASE_GRAL[ID_INDIVIDUAL])-MIN(ROW(BASE_GRAL[ID_INDIVIDUAL]))+1)))</f>
        <v>LICITADA</v>
      </c>
      <c r="U76" t="str" cm="1">
        <f t="array" ref="U76">INDEX(BASE_GRAL[ESTADO 2], MAX(IF(BASE_GRAL[ID_INDIVIDUAL]=G76, ROW(BASE_GRAL[ID_INDIVIDUAL])-MIN(ROW(BASE_GRAL[ID_INDIVIDUAL]))+1)))</f>
        <v>ADJUDICADA</v>
      </c>
      <c r="V76" t="str" cm="1">
        <f t="array" ref="V76">INDEX(BASE_GRAL[Proceso '[AÑO + DECRETO']], MAX(IF(BASE_GRAL[ID_INDIVIDUAL]=G76, ROW(BASE_GRAL[ID_INDIVIDUAL])-MIN(ROW(BASE_GRAL[ID_INDIVIDUAL]))+1)))</f>
        <v>3_PROCESO_ON_19</v>
      </c>
    </row>
    <row r="77" spans="1:22" x14ac:dyDescent="0.25">
      <c r="A77">
        <v>76</v>
      </c>
      <c r="B77">
        <v>2018</v>
      </c>
      <c r="C77">
        <v>293</v>
      </c>
      <c r="D77" s="6">
        <v>43433</v>
      </c>
      <c r="E77">
        <v>2</v>
      </c>
      <c r="F77" t="s">
        <v>28</v>
      </c>
      <c r="G77" t="s">
        <v>1397</v>
      </c>
      <c r="H77" t="s">
        <v>632</v>
      </c>
      <c r="I77" t="str">
        <f>Tabla6[[#This Row],[DECRETO]]&amp;" - "&amp;Tabla6[[#This Row],[Nombre Obra]]</f>
        <v>293 - Ampliación en S/E Plantas</v>
      </c>
      <c r="J77" t="s">
        <v>154</v>
      </c>
      <c r="L77" t="s">
        <v>17</v>
      </c>
      <c r="M77" t="s">
        <v>18</v>
      </c>
      <c r="N77">
        <v>24</v>
      </c>
      <c r="O77" s="160">
        <v>0</v>
      </c>
      <c r="P77">
        <v>11676198</v>
      </c>
      <c r="Q77">
        <v>186819.16800000001</v>
      </c>
      <c r="R77">
        <v>11863017.168</v>
      </c>
      <c r="S77" t="s">
        <v>27</v>
      </c>
      <c r="T77" t="str" cm="1">
        <f t="array" ref="T77">INDEX(BASE_GRAL[ESTADO 1], MAX(IF(BASE_GRAL[ID_INDIVIDUAL]=G77, ROW(BASE_GRAL[ID_INDIVIDUAL])-MIN(ROW(BASE_GRAL[ID_INDIVIDUAL]))+1)))</f>
        <v>LICITADA</v>
      </c>
      <c r="U77" t="str" cm="1">
        <f t="array" ref="U77">INDEX(BASE_GRAL[ESTADO 2], MAX(IF(BASE_GRAL[ID_INDIVIDUAL]=G77, ROW(BASE_GRAL[ID_INDIVIDUAL])-MIN(ROW(BASE_GRAL[ID_INDIVIDUAL]))+1)))</f>
        <v>ADJUDICADA</v>
      </c>
      <c r="V77" t="str" cm="1">
        <f t="array" ref="V77">INDEX(BASE_GRAL[Proceso '[AÑO + DECRETO']], MAX(IF(BASE_GRAL[ID_INDIVIDUAL]=G77, ROW(BASE_GRAL[ID_INDIVIDUAL])-MIN(ROW(BASE_GRAL[ID_INDIVIDUAL]))+1)))</f>
        <v>3_PROCESO_OA_19</v>
      </c>
    </row>
    <row r="78" spans="1:22" x14ac:dyDescent="0.25">
      <c r="A78">
        <v>77</v>
      </c>
      <c r="B78">
        <v>2018</v>
      </c>
      <c r="C78">
        <v>293</v>
      </c>
      <c r="D78" s="6">
        <v>43433</v>
      </c>
      <c r="E78">
        <v>2</v>
      </c>
      <c r="F78" t="s">
        <v>28</v>
      </c>
      <c r="G78" t="s">
        <v>1382</v>
      </c>
      <c r="H78" t="s">
        <v>635</v>
      </c>
      <c r="I78" t="str">
        <f>Tabla6[[#This Row],[DECRETO]]&amp;" - "&amp;Tabla6[[#This Row],[Nombre Obra]]</f>
        <v>293 - Nuevo Transformador en S/E Illapel</v>
      </c>
      <c r="J78" t="s">
        <v>154</v>
      </c>
      <c r="L78" t="s">
        <v>17</v>
      </c>
      <c r="M78" t="s">
        <v>18</v>
      </c>
      <c r="N78">
        <v>24</v>
      </c>
      <c r="O78" s="160">
        <v>0</v>
      </c>
      <c r="P78">
        <v>3415121</v>
      </c>
      <c r="Q78">
        <v>54641.936000000002</v>
      </c>
      <c r="R78">
        <v>3469762.9360000002</v>
      </c>
      <c r="S78" t="s">
        <v>27</v>
      </c>
      <c r="T78" t="str" cm="1">
        <f t="array" ref="T78">INDEX(BASE_GRAL[ESTADO 1], MAX(IF(BASE_GRAL[ID_INDIVIDUAL]=G78, ROW(BASE_GRAL[ID_INDIVIDUAL])-MIN(ROW(BASE_GRAL[ID_INDIVIDUAL]))+1)))</f>
        <v>LICITADA</v>
      </c>
      <c r="U78" t="str" cm="1">
        <f t="array" ref="U78">INDEX(BASE_GRAL[ESTADO 2], MAX(IF(BASE_GRAL[ID_INDIVIDUAL]=G78, ROW(BASE_GRAL[ID_INDIVIDUAL])-MIN(ROW(BASE_GRAL[ID_INDIVIDUAL]))+1)))</f>
        <v>DESIERTA - POR VMAX</v>
      </c>
      <c r="V78" t="str" cm="1">
        <f t="array" ref="V78">INDEX(BASE_GRAL[Proceso '[AÑO + DECRETO']], MAX(IF(BASE_GRAL[ID_INDIVIDUAL]=G78, ROW(BASE_GRAL[ID_INDIVIDUAL])-MIN(ROW(BASE_GRAL[ID_INDIVIDUAL]))+1)))</f>
        <v>3_PROCESO_OA_19</v>
      </c>
    </row>
    <row r="79" spans="1:22" x14ac:dyDescent="0.25">
      <c r="A79">
        <v>78</v>
      </c>
      <c r="B79">
        <v>2018</v>
      </c>
      <c r="C79">
        <v>293</v>
      </c>
      <c r="D79" s="6">
        <v>43433</v>
      </c>
      <c r="E79">
        <v>5</v>
      </c>
      <c r="F79" t="s">
        <v>40</v>
      </c>
      <c r="G79" t="s">
        <v>1398</v>
      </c>
      <c r="H79" t="s">
        <v>641</v>
      </c>
      <c r="I79" t="str">
        <f>Tabla6[[#This Row],[DECRETO]]&amp;" - "&amp;Tabla6[[#This Row],[Nombre Obra]]</f>
        <v>293 - Nueva S/E Móvil Región de Valparaíso</v>
      </c>
      <c r="J79" t="s">
        <v>154</v>
      </c>
      <c r="L79" t="s">
        <v>17</v>
      </c>
      <c r="M79" t="s">
        <v>18</v>
      </c>
      <c r="N79">
        <v>20</v>
      </c>
      <c r="O79" s="160">
        <v>0</v>
      </c>
      <c r="P79">
        <v>3671532</v>
      </c>
      <c r="Q79">
        <v>58744.512000000002</v>
      </c>
      <c r="R79">
        <v>3730276.5120000001</v>
      </c>
      <c r="S79" t="s">
        <v>643</v>
      </c>
      <c r="T79" t="str" cm="1">
        <f t="array" ref="T79">INDEX(BASE_GRAL[ESTADO 1], MAX(IF(BASE_GRAL[ID_INDIVIDUAL]=G79, ROW(BASE_GRAL[ID_INDIVIDUAL])-MIN(ROW(BASE_GRAL[ID_INDIVIDUAL]))+1)))</f>
        <v>LICITADA</v>
      </c>
      <c r="U79" t="str" cm="1">
        <f t="array" ref="U79">INDEX(BASE_GRAL[ESTADO 2], MAX(IF(BASE_GRAL[ID_INDIVIDUAL]=G79, ROW(BASE_GRAL[ID_INDIVIDUAL])-MIN(ROW(BASE_GRAL[ID_INDIVIDUAL]))+1)))</f>
        <v>ADJUDICADA</v>
      </c>
      <c r="V79" t="str" cm="1">
        <f t="array" ref="V79">INDEX(BASE_GRAL[Proceso '[AÑO + DECRETO']], MAX(IF(BASE_GRAL[ID_INDIVIDUAL]=G79, ROW(BASE_GRAL[ID_INDIVIDUAL])-MIN(ROW(BASE_GRAL[ID_INDIVIDUAL]))+1)))</f>
        <v>3_PROCESO_OA_19</v>
      </c>
    </row>
    <row r="80" spans="1:22" x14ac:dyDescent="0.25">
      <c r="A80">
        <v>79</v>
      </c>
      <c r="B80">
        <v>2018</v>
      </c>
      <c r="C80">
        <v>293</v>
      </c>
      <c r="D80" s="6">
        <v>43433</v>
      </c>
      <c r="E80">
        <v>5</v>
      </c>
      <c r="F80" t="s">
        <v>40</v>
      </c>
      <c r="G80" t="s">
        <v>1399</v>
      </c>
      <c r="H80" t="s">
        <v>647</v>
      </c>
      <c r="I80" t="str">
        <f>Tabla6[[#This Row],[DECRETO]]&amp;" - "&amp;Tabla6[[#This Row],[Nombre Obra]]</f>
        <v>293 - Tendido segundo circuito Línea 2x110 kV Agua Santa - Placilla</v>
      </c>
      <c r="J80" t="s">
        <v>154</v>
      </c>
      <c r="L80" t="s">
        <v>17</v>
      </c>
      <c r="M80" t="s">
        <v>33</v>
      </c>
      <c r="N80">
        <v>24</v>
      </c>
      <c r="O80" s="160">
        <v>0</v>
      </c>
      <c r="P80">
        <v>1342647</v>
      </c>
      <c r="Q80">
        <v>21482.351999999999</v>
      </c>
      <c r="R80">
        <v>1364129.352</v>
      </c>
      <c r="S80" t="s">
        <v>643</v>
      </c>
      <c r="T80" t="str" cm="1">
        <f t="array" ref="T80">INDEX(BASE_GRAL[ESTADO 1], MAX(IF(BASE_GRAL[ID_INDIVIDUAL]=G80, ROW(BASE_GRAL[ID_INDIVIDUAL])-MIN(ROW(BASE_GRAL[ID_INDIVIDUAL]))+1)))</f>
        <v>LICITADA</v>
      </c>
      <c r="U80" t="str" cm="1">
        <f t="array" ref="U80">INDEX(BASE_GRAL[ESTADO 2], MAX(IF(BASE_GRAL[ID_INDIVIDUAL]=G80, ROW(BASE_GRAL[ID_INDIVIDUAL])-MIN(ROW(BASE_GRAL[ID_INDIVIDUAL]))+1)))</f>
        <v>ADJUDICADA</v>
      </c>
      <c r="V80" t="str" cm="1">
        <f t="array" ref="V80">INDEX(BASE_GRAL[Proceso '[AÑO + DECRETO']], MAX(IF(BASE_GRAL[ID_INDIVIDUAL]=G80, ROW(BASE_GRAL[ID_INDIVIDUAL])-MIN(ROW(BASE_GRAL[ID_INDIVIDUAL]))+1)))</f>
        <v>3_PROCESO_OA_19</v>
      </c>
    </row>
    <row r="81" spans="1:22" x14ac:dyDescent="0.25">
      <c r="A81">
        <v>80</v>
      </c>
      <c r="B81">
        <v>2018</v>
      </c>
      <c r="C81">
        <v>293</v>
      </c>
      <c r="D81" s="6">
        <v>43433</v>
      </c>
      <c r="E81">
        <v>5</v>
      </c>
      <c r="F81" t="s">
        <v>40</v>
      </c>
      <c r="G81" t="s">
        <v>1400</v>
      </c>
      <c r="H81" t="s">
        <v>652</v>
      </c>
      <c r="I81" t="str">
        <f>Tabla6[[#This Row],[DECRETO]]&amp;" - "&amp;Tabla6[[#This Row],[Nombre Obra]]</f>
        <v>293 - Aumento de Capacidad Línea 2x110 kV Aconcagua – Esperanza, Segmento entre S/E Río Aconcagua y S/E Panquehue</v>
      </c>
      <c r="J81" t="s">
        <v>154</v>
      </c>
      <c r="L81" t="s">
        <v>17</v>
      </c>
      <c r="M81" t="s">
        <v>33</v>
      </c>
      <c r="N81">
        <v>36</v>
      </c>
      <c r="O81" s="160">
        <v>0</v>
      </c>
      <c r="P81">
        <v>2101222</v>
      </c>
      <c r="Q81">
        <v>33619.552000000003</v>
      </c>
      <c r="R81">
        <v>2134841.5520000001</v>
      </c>
      <c r="S81" t="s">
        <v>597</v>
      </c>
      <c r="T81" t="str" cm="1">
        <f t="array" ref="T81">INDEX(BASE_GRAL[ESTADO 1], MAX(IF(BASE_GRAL[ID_INDIVIDUAL]=G81, ROW(BASE_GRAL[ID_INDIVIDUAL])-MIN(ROW(BASE_GRAL[ID_INDIVIDUAL]))+1)))</f>
        <v>LICITADA</v>
      </c>
      <c r="U81" t="str" cm="1">
        <f t="array" ref="U81">INDEX(BASE_GRAL[ESTADO 2], MAX(IF(BASE_GRAL[ID_INDIVIDUAL]=G81, ROW(BASE_GRAL[ID_INDIVIDUAL])-MIN(ROW(BASE_GRAL[ID_INDIVIDUAL]))+1)))</f>
        <v>ADJUDICADA</v>
      </c>
      <c r="V81" t="str" cm="1">
        <f t="array" ref="V81">INDEX(BASE_GRAL[Proceso '[AÑO + DECRETO']], MAX(IF(BASE_GRAL[ID_INDIVIDUAL]=G81, ROW(BASE_GRAL[ID_INDIVIDUAL])-MIN(ROW(BASE_GRAL[ID_INDIVIDUAL]))+1)))</f>
        <v>3_PROCESO_OA_19</v>
      </c>
    </row>
    <row r="82" spans="1:22" x14ac:dyDescent="0.25">
      <c r="A82">
        <v>81</v>
      </c>
      <c r="B82">
        <v>2018</v>
      </c>
      <c r="C82">
        <v>293</v>
      </c>
      <c r="D82" s="6">
        <v>43433</v>
      </c>
      <c r="E82">
        <v>5</v>
      </c>
      <c r="F82" t="s">
        <v>40</v>
      </c>
      <c r="G82" t="s">
        <v>1401</v>
      </c>
      <c r="H82" t="s">
        <v>35</v>
      </c>
      <c r="I82" t="str">
        <f>Tabla6[[#This Row],[DECRETO]]&amp;" - "&amp;Tabla6[[#This Row],[Nombre Obra]]</f>
        <v>293 - Ampliación en S/E Catemu</v>
      </c>
      <c r="J82" t="s">
        <v>154</v>
      </c>
      <c r="L82" t="s">
        <v>388</v>
      </c>
      <c r="M82" t="s">
        <v>18</v>
      </c>
      <c r="N82">
        <v>20</v>
      </c>
      <c r="O82" s="160">
        <v>0</v>
      </c>
      <c r="P82">
        <v>1828702</v>
      </c>
      <c r="Q82">
        <v>29259.232</v>
      </c>
      <c r="R82">
        <v>1857961.2320000001</v>
      </c>
      <c r="S82" t="s">
        <v>643</v>
      </c>
      <c r="T82" t="str" cm="1">
        <f t="array" ref="T82">INDEX(BASE_GRAL[ESTADO 1], MAX(IF(BASE_GRAL[ID_INDIVIDUAL]=G82, ROW(BASE_GRAL[ID_INDIVIDUAL])-MIN(ROW(BASE_GRAL[ID_INDIVIDUAL]))+1)))</f>
        <v>NO LICITADA POR MODF. DECRETO</v>
      </c>
      <c r="U82" cm="1">
        <f t="array" ref="U82">INDEX(BASE_GRAL[ESTADO 2], MAX(IF(BASE_GRAL[ID_INDIVIDUAL]=G82, ROW(BASE_GRAL[ID_INDIVIDUAL])-MIN(ROW(BASE_GRAL[ID_INDIVIDUAL]))+1)))</f>
        <v>0</v>
      </c>
      <c r="V82" cm="1">
        <f t="array" ref="V82">INDEX(BASE_GRAL[Proceso '[AÑO + DECRETO']], MAX(IF(BASE_GRAL[ID_INDIVIDUAL]=G82, ROW(BASE_GRAL[ID_INDIVIDUAL])-MIN(ROW(BASE_GRAL[ID_INDIVIDUAL]))+1)))</f>
        <v>0</v>
      </c>
    </row>
    <row r="83" spans="1:22" x14ac:dyDescent="0.25">
      <c r="A83">
        <v>82</v>
      </c>
      <c r="B83">
        <v>2018</v>
      </c>
      <c r="C83">
        <v>293</v>
      </c>
      <c r="D83" s="6">
        <v>43433</v>
      </c>
      <c r="E83">
        <v>5</v>
      </c>
      <c r="F83" t="s">
        <v>40</v>
      </c>
      <c r="G83" t="s">
        <v>1402</v>
      </c>
      <c r="H83" t="s">
        <v>657</v>
      </c>
      <c r="I83" t="str">
        <f>Tabla6[[#This Row],[DECRETO]]&amp;" - "&amp;Tabla6[[#This Row],[Nombre Obra]]</f>
        <v>293 - Nuevo Transformador en S/E La Calera</v>
      </c>
      <c r="J83" t="s">
        <v>154</v>
      </c>
      <c r="L83" t="s">
        <v>17</v>
      </c>
      <c r="M83" t="s">
        <v>18</v>
      </c>
      <c r="N83">
        <v>24</v>
      </c>
      <c r="O83" s="160">
        <v>0</v>
      </c>
      <c r="P83">
        <v>1973981</v>
      </c>
      <c r="Q83">
        <v>31583.696</v>
      </c>
      <c r="R83">
        <v>2005564.696</v>
      </c>
      <c r="S83" t="s">
        <v>643</v>
      </c>
      <c r="T83" t="str" cm="1">
        <f t="array" ref="T83">INDEX(BASE_GRAL[ESTADO 1], MAX(IF(BASE_GRAL[ID_INDIVIDUAL]=G83, ROW(BASE_GRAL[ID_INDIVIDUAL])-MIN(ROW(BASE_GRAL[ID_INDIVIDUAL]))+1)))</f>
        <v>LICITADA</v>
      </c>
      <c r="U83" t="str" cm="1">
        <f t="array" ref="U83">INDEX(BASE_GRAL[ESTADO 2], MAX(IF(BASE_GRAL[ID_INDIVIDUAL]=G83, ROW(BASE_GRAL[ID_INDIVIDUAL])-MIN(ROW(BASE_GRAL[ID_INDIVIDUAL]))+1)))</f>
        <v>ADJUDICADA</v>
      </c>
      <c r="V83" t="str" cm="1">
        <f t="array" ref="V83">INDEX(BASE_GRAL[Proceso '[AÑO + DECRETO']], MAX(IF(BASE_GRAL[ID_INDIVIDUAL]=G83, ROW(BASE_GRAL[ID_INDIVIDUAL])-MIN(ROW(BASE_GRAL[ID_INDIVIDUAL]))+1)))</f>
        <v>3_PROCESO_OA_19</v>
      </c>
    </row>
    <row r="84" spans="1:22" x14ac:dyDescent="0.25">
      <c r="A84">
        <v>83</v>
      </c>
      <c r="B84">
        <v>2018</v>
      </c>
      <c r="C84">
        <v>293</v>
      </c>
      <c r="D84" s="6">
        <v>43433</v>
      </c>
      <c r="E84">
        <v>5</v>
      </c>
      <c r="F84" t="s">
        <v>40</v>
      </c>
      <c r="G84" t="s">
        <v>1403</v>
      </c>
      <c r="H84" t="s">
        <v>660</v>
      </c>
      <c r="I84" t="str">
        <f>Tabla6[[#This Row],[DECRETO]]&amp;" - "&amp;Tabla6[[#This Row],[Nombre Obra]]</f>
        <v>293 - Extensión de Línea 1x66 kV Las Piñatas – San Jerónimo</v>
      </c>
      <c r="J84" t="s">
        <v>154</v>
      </c>
      <c r="L84" t="s">
        <v>17</v>
      </c>
      <c r="M84" t="s">
        <v>33</v>
      </c>
      <c r="N84">
        <v>12</v>
      </c>
      <c r="O84" s="160">
        <v>0</v>
      </c>
      <c r="P84">
        <v>399243</v>
      </c>
      <c r="Q84">
        <v>6387.8879999999999</v>
      </c>
      <c r="R84">
        <v>405630.88799999998</v>
      </c>
      <c r="S84" t="s">
        <v>661</v>
      </c>
      <c r="T84" t="str" cm="1">
        <f t="array" ref="T84">INDEX(BASE_GRAL[ESTADO 1], MAX(IF(BASE_GRAL[ID_INDIVIDUAL]=G84, ROW(BASE_GRAL[ID_INDIVIDUAL])-MIN(ROW(BASE_GRAL[ID_INDIVIDUAL]))+1)))</f>
        <v>LICITADA</v>
      </c>
      <c r="U84" t="str" cm="1">
        <f t="array" ref="U84">INDEX(BASE_GRAL[ESTADO 2], MAX(IF(BASE_GRAL[ID_INDIVIDUAL]=G84, ROW(BASE_GRAL[ID_INDIVIDUAL])-MIN(ROW(BASE_GRAL[ID_INDIVIDUAL]))+1)))</f>
        <v>ADJUDICADA</v>
      </c>
      <c r="V84" t="str" cm="1">
        <f t="array" ref="V84">INDEX(BASE_GRAL[Proceso '[AÑO + DECRETO']], MAX(IF(BASE_GRAL[ID_INDIVIDUAL]=G84, ROW(BASE_GRAL[ID_INDIVIDUAL])-MIN(ROW(BASE_GRAL[ID_INDIVIDUAL]))+1)))</f>
        <v>3_PROCESO_OA_19</v>
      </c>
    </row>
    <row r="85" spans="1:22" x14ac:dyDescent="0.25">
      <c r="A85">
        <v>84</v>
      </c>
      <c r="B85">
        <v>2018</v>
      </c>
      <c r="C85">
        <v>293</v>
      </c>
      <c r="D85" s="6">
        <v>43433</v>
      </c>
      <c r="E85">
        <v>7</v>
      </c>
      <c r="F85" t="s">
        <v>45</v>
      </c>
      <c r="G85" t="s">
        <v>1404</v>
      </c>
      <c r="H85" t="s">
        <v>664</v>
      </c>
      <c r="I85" t="str">
        <f>Tabla6[[#This Row],[DECRETO]]&amp;" - "&amp;Tabla6[[#This Row],[Nombre Obra]]</f>
        <v>293 - Adecuaciones en S/E El Salto</v>
      </c>
      <c r="J85" t="s">
        <v>154</v>
      </c>
      <c r="L85" t="s">
        <v>17</v>
      </c>
      <c r="M85" t="s">
        <v>18</v>
      </c>
      <c r="N85">
        <v>30</v>
      </c>
      <c r="O85" s="160">
        <v>0</v>
      </c>
      <c r="P85">
        <v>4103665.0000000005</v>
      </c>
      <c r="Q85">
        <v>65658.640000000014</v>
      </c>
      <c r="R85">
        <v>4169323.6400000006</v>
      </c>
      <c r="S85" t="s">
        <v>666</v>
      </c>
      <c r="T85" t="str" cm="1">
        <f t="array" ref="T85">INDEX(BASE_GRAL[ESTADO 1], MAX(IF(BASE_GRAL[ID_INDIVIDUAL]=G85, ROW(BASE_GRAL[ID_INDIVIDUAL])-MIN(ROW(BASE_GRAL[ID_INDIVIDUAL]))+1)))</f>
        <v>LICITADA</v>
      </c>
      <c r="U85" t="str" cm="1">
        <f t="array" ref="U85">INDEX(BASE_GRAL[ESTADO 2], MAX(IF(BASE_GRAL[ID_INDIVIDUAL]=G85, ROW(BASE_GRAL[ID_INDIVIDUAL])-MIN(ROW(BASE_GRAL[ID_INDIVIDUAL]))+1)))</f>
        <v>ADJUDICADA</v>
      </c>
      <c r="V85" t="str" cm="1">
        <f t="array" ref="V85">INDEX(BASE_GRAL[Proceso '[AÑO + DECRETO']], MAX(IF(BASE_GRAL[ID_INDIVIDUAL]=G85, ROW(BASE_GRAL[ID_INDIVIDUAL])-MIN(ROW(BASE_GRAL[ID_INDIVIDUAL]))+1)))</f>
        <v>3_PROCESO_OA_19</v>
      </c>
    </row>
    <row r="86" spans="1:22" x14ac:dyDescent="0.25">
      <c r="A86">
        <v>85</v>
      </c>
      <c r="B86">
        <v>2018</v>
      </c>
      <c r="C86">
        <v>293</v>
      </c>
      <c r="D86" s="6">
        <v>43433</v>
      </c>
      <c r="E86">
        <v>8</v>
      </c>
      <c r="F86" t="s">
        <v>59</v>
      </c>
      <c r="G86" t="s">
        <v>1405</v>
      </c>
      <c r="H86" t="s">
        <v>670</v>
      </c>
      <c r="I86" t="str">
        <f>Tabla6[[#This Row],[DECRETO]]&amp;" - "&amp;Tabla6[[#This Row],[Nombre Obra]]</f>
        <v>293 - Aumento de Capacidad en S/E Colchagua</v>
      </c>
      <c r="J86" t="s">
        <v>154</v>
      </c>
      <c r="L86" t="s">
        <v>17</v>
      </c>
      <c r="M86" t="s">
        <v>18</v>
      </c>
      <c r="N86">
        <v>18</v>
      </c>
      <c r="O86" s="160">
        <v>0</v>
      </c>
      <c r="P86">
        <v>1717026</v>
      </c>
      <c r="Q86">
        <v>27472.416000000001</v>
      </c>
      <c r="R86">
        <v>1744498.416</v>
      </c>
      <c r="S86" t="s">
        <v>27</v>
      </c>
      <c r="T86" t="str" cm="1">
        <f t="array" ref="T86">INDEX(BASE_GRAL[ESTADO 1], MAX(IF(BASE_GRAL[ID_INDIVIDUAL]=G86, ROW(BASE_GRAL[ID_INDIVIDUAL])-MIN(ROW(BASE_GRAL[ID_INDIVIDUAL]))+1)))</f>
        <v>LICITADA</v>
      </c>
      <c r="U86" t="str" cm="1">
        <f t="array" ref="U86">INDEX(BASE_GRAL[ESTADO 2], MAX(IF(BASE_GRAL[ID_INDIVIDUAL]=G86, ROW(BASE_GRAL[ID_INDIVIDUAL])-MIN(ROW(BASE_GRAL[ID_INDIVIDUAL]))+1)))</f>
        <v>ADJUDICADA</v>
      </c>
      <c r="V86" t="str" cm="1">
        <f t="array" ref="V86">INDEX(BASE_GRAL[Proceso '[AÑO + DECRETO']], MAX(IF(BASE_GRAL[ID_INDIVIDUAL]=G86, ROW(BASE_GRAL[ID_INDIVIDUAL])-MIN(ROW(BASE_GRAL[ID_INDIVIDUAL]))+1)))</f>
        <v>3_PROCESO_OA_19</v>
      </c>
    </row>
    <row r="87" spans="1:22" x14ac:dyDescent="0.25">
      <c r="A87">
        <v>86</v>
      </c>
      <c r="B87">
        <v>2018</v>
      </c>
      <c r="C87">
        <v>293</v>
      </c>
      <c r="D87" s="6">
        <v>43433</v>
      </c>
      <c r="E87">
        <v>8</v>
      </c>
      <c r="F87" t="s">
        <v>59</v>
      </c>
      <c r="G87" t="s">
        <v>1383</v>
      </c>
      <c r="H87" t="s">
        <v>674</v>
      </c>
      <c r="I87" t="str">
        <f>Tabla6[[#This Row],[DECRETO]]&amp;" - "&amp;Tabla6[[#This Row],[Nombre Obra]]</f>
        <v>293 - Aumento de Capacidad en S/E Piduco</v>
      </c>
      <c r="J87" t="s">
        <v>154</v>
      </c>
      <c r="L87" t="s">
        <v>17</v>
      </c>
      <c r="M87" t="s">
        <v>18</v>
      </c>
      <c r="N87">
        <v>18</v>
      </c>
      <c r="O87" s="160">
        <v>0</v>
      </c>
      <c r="P87">
        <v>1653966</v>
      </c>
      <c r="Q87">
        <v>26463.456000000002</v>
      </c>
      <c r="R87">
        <v>1680429.456</v>
      </c>
      <c r="S87" t="s">
        <v>27</v>
      </c>
      <c r="T87" t="str" cm="1">
        <f t="array" ref="T87">INDEX(BASE_GRAL[ESTADO 1], MAX(IF(BASE_GRAL[ID_INDIVIDUAL]=G87, ROW(BASE_GRAL[ID_INDIVIDUAL])-MIN(ROW(BASE_GRAL[ID_INDIVIDUAL]))+1)))</f>
        <v>LICITADA</v>
      </c>
      <c r="U87" t="str" cm="1">
        <f t="array" ref="U87">INDEX(BASE_GRAL[ESTADO 2], MAX(IF(BASE_GRAL[ID_INDIVIDUAL]=G87, ROW(BASE_GRAL[ID_INDIVIDUAL])-MIN(ROW(BASE_GRAL[ID_INDIVIDUAL]))+1)))</f>
        <v>DESIERTA - POR VMAX</v>
      </c>
      <c r="V87" t="str" cm="1">
        <f t="array" ref="V87">INDEX(BASE_GRAL[Proceso '[AÑO + DECRETO']], MAX(IF(BASE_GRAL[ID_INDIVIDUAL]=G87, ROW(BASE_GRAL[ID_INDIVIDUAL])-MIN(ROW(BASE_GRAL[ID_INDIVIDUAL]))+1)))</f>
        <v>3_PROCESO_OA_19</v>
      </c>
    </row>
    <row r="88" spans="1:22" x14ac:dyDescent="0.25">
      <c r="A88">
        <v>87</v>
      </c>
      <c r="B88">
        <v>2018</v>
      </c>
      <c r="C88">
        <v>293</v>
      </c>
      <c r="D88" s="6">
        <v>43433</v>
      </c>
      <c r="E88">
        <v>8</v>
      </c>
      <c r="F88" t="s">
        <v>59</v>
      </c>
      <c r="G88" t="s">
        <v>1384</v>
      </c>
      <c r="H88" t="s">
        <v>678</v>
      </c>
      <c r="I88" t="str">
        <f>Tabla6[[#This Row],[DECRETO]]&amp;" - "&amp;Tabla6[[#This Row],[Nombre Obra]]</f>
        <v>293 - Aumento de Capacidad en S/E El Monte</v>
      </c>
      <c r="J88" t="s">
        <v>154</v>
      </c>
      <c r="L88" t="s">
        <v>17</v>
      </c>
      <c r="M88" t="s">
        <v>18</v>
      </c>
      <c r="N88">
        <v>18</v>
      </c>
      <c r="O88" s="160">
        <v>0</v>
      </c>
      <c r="P88">
        <v>882500</v>
      </c>
      <c r="Q88">
        <v>14120</v>
      </c>
      <c r="R88">
        <v>896620</v>
      </c>
      <c r="S88" t="s">
        <v>27</v>
      </c>
      <c r="T88" t="str" cm="1">
        <f t="array" ref="T88">INDEX(BASE_GRAL[ESTADO 1], MAX(IF(BASE_GRAL[ID_INDIVIDUAL]=G88, ROW(BASE_GRAL[ID_INDIVIDUAL])-MIN(ROW(BASE_GRAL[ID_INDIVIDUAL]))+1)))</f>
        <v>LICITADA</v>
      </c>
      <c r="U88" t="str" cm="1">
        <f t="array" ref="U88">INDEX(BASE_GRAL[ESTADO 2], MAX(IF(BASE_GRAL[ID_INDIVIDUAL]=G88, ROW(BASE_GRAL[ID_INDIVIDUAL])-MIN(ROW(BASE_GRAL[ID_INDIVIDUAL]))+1)))</f>
        <v>DESIERTA - POR VMAX</v>
      </c>
      <c r="V88" t="str" cm="1">
        <f t="array" ref="V88">INDEX(BASE_GRAL[Proceso '[AÑO + DECRETO']], MAX(IF(BASE_GRAL[ID_INDIVIDUAL]=G88, ROW(BASE_GRAL[ID_INDIVIDUAL])-MIN(ROW(BASE_GRAL[ID_INDIVIDUAL]))+1)))</f>
        <v>3_PROCESO_OA_19</v>
      </c>
    </row>
    <row r="89" spans="1:22" x14ac:dyDescent="0.25">
      <c r="A89">
        <v>88</v>
      </c>
      <c r="B89">
        <v>2018</v>
      </c>
      <c r="C89">
        <v>293</v>
      </c>
      <c r="D89" s="6">
        <v>43433</v>
      </c>
      <c r="E89">
        <v>8</v>
      </c>
      <c r="F89" t="s">
        <v>59</v>
      </c>
      <c r="G89" t="s">
        <v>1406</v>
      </c>
      <c r="H89" t="s">
        <v>682</v>
      </c>
      <c r="I89" t="str">
        <f>Tabla6[[#This Row],[DECRETO]]&amp;" - "&amp;Tabla6[[#This Row],[Nombre Obra]]</f>
        <v>293 - Ampliación Línea 2x220 kV Punta de Cortés - Tuniche: Incorporación de paños de línea</v>
      </c>
      <c r="J89" t="s">
        <v>154</v>
      </c>
      <c r="L89" t="s">
        <v>388</v>
      </c>
      <c r="M89" t="s">
        <v>1260</v>
      </c>
      <c r="N89">
        <v>36</v>
      </c>
      <c r="O89" s="160">
        <v>0</v>
      </c>
      <c r="P89">
        <v>6722466</v>
      </c>
      <c r="Q89">
        <v>107559.45600000001</v>
      </c>
      <c r="R89">
        <v>6830025.4560000002</v>
      </c>
      <c r="S89" t="s">
        <v>34</v>
      </c>
      <c r="T89" t="str" cm="1">
        <f t="array" ref="T89">INDEX(BASE_GRAL[ESTADO 1], MAX(IF(BASE_GRAL[ID_INDIVIDUAL]=G89, ROW(BASE_GRAL[ID_INDIVIDUAL])-MIN(ROW(BASE_GRAL[ID_INDIVIDUAL]))+1)))</f>
        <v>LICITADA</v>
      </c>
      <c r="U89" t="str" cm="1">
        <f t="array" ref="U89">INDEX(BASE_GRAL[ESTADO 2], MAX(IF(BASE_GRAL[ID_INDIVIDUAL]=G89, ROW(BASE_GRAL[ID_INDIVIDUAL])-MIN(ROW(BASE_GRAL[ID_INDIVIDUAL]))+1)))</f>
        <v>ADJUDICADA</v>
      </c>
      <c r="V89" t="str" cm="1">
        <f t="array" ref="V89">INDEX(BASE_GRAL[Proceso '[AÑO + DECRETO']], MAX(IF(BASE_GRAL[ID_INDIVIDUAL]=G89, ROW(BASE_GRAL[ID_INDIVIDUAL])-MIN(ROW(BASE_GRAL[ID_INDIVIDUAL]))+1)))</f>
        <v>3_PROCESO_ON_19</v>
      </c>
    </row>
    <row r="90" spans="1:22" x14ac:dyDescent="0.25">
      <c r="A90">
        <v>89</v>
      </c>
      <c r="B90">
        <v>2018</v>
      </c>
      <c r="C90">
        <v>293</v>
      </c>
      <c r="D90" s="6">
        <v>43433</v>
      </c>
      <c r="E90">
        <v>8</v>
      </c>
      <c r="F90" t="s">
        <v>59</v>
      </c>
      <c r="G90" t="s">
        <v>1407</v>
      </c>
      <c r="H90" t="s">
        <v>685</v>
      </c>
      <c r="I90" t="str">
        <f>Tabla6[[#This Row],[DECRETO]]&amp;" - "&amp;Tabla6[[#This Row],[Nombre Obra]]</f>
        <v>293 - Nuevo Transformador en S/E Punta de Cortés</v>
      </c>
      <c r="J90" t="s">
        <v>154</v>
      </c>
      <c r="L90" t="s">
        <v>388</v>
      </c>
      <c r="M90" t="s">
        <v>18</v>
      </c>
      <c r="N90">
        <v>36</v>
      </c>
      <c r="O90" s="160">
        <v>0</v>
      </c>
      <c r="P90">
        <v>8056680</v>
      </c>
      <c r="Q90">
        <v>128906.88</v>
      </c>
      <c r="R90">
        <v>8185586.8799999999</v>
      </c>
      <c r="S90" t="s">
        <v>27</v>
      </c>
      <c r="T90" t="str" cm="1">
        <f t="array" ref="T90">INDEX(BASE_GRAL[ESTADO 1], MAX(IF(BASE_GRAL[ID_INDIVIDUAL]=G90, ROW(BASE_GRAL[ID_INDIVIDUAL])-MIN(ROW(BASE_GRAL[ID_INDIVIDUAL]))+1)))</f>
        <v>LICITADA</v>
      </c>
      <c r="U90" t="str" cm="1">
        <f t="array" ref="U90">INDEX(BASE_GRAL[ESTADO 2], MAX(IF(BASE_GRAL[ID_INDIVIDUAL]=G90, ROW(BASE_GRAL[ID_INDIVIDUAL])-MIN(ROW(BASE_GRAL[ID_INDIVIDUAL]))+1)))</f>
        <v>ADJUDICADA</v>
      </c>
      <c r="V90" t="str" cm="1">
        <f t="array" ref="V90">INDEX(BASE_GRAL[Proceso '[AÑO + DECRETO']], MAX(IF(BASE_GRAL[ID_INDIVIDUAL]=G90, ROW(BASE_GRAL[ID_INDIVIDUAL])-MIN(ROW(BASE_GRAL[ID_INDIVIDUAL]))+1)))</f>
        <v>3_PROCESO_ON_19</v>
      </c>
    </row>
    <row r="91" spans="1:22" x14ac:dyDescent="0.25">
      <c r="A91">
        <v>90</v>
      </c>
      <c r="B91">
        <v>2018</v>
      </c>
      <c r="C91">
        <v>293</v>
      </c>
      <c r="D91" s="6">
        <v>43433</v>
      </c>
      <c r="E91">
        <v>8</v>
      </c>
      <c r="F91" t="s">
        <v>59</v>
      </c>
      <c r="G91" t="s">
        <v>1408</v>
      </c>
      <c r="H91" t="s">
        <v>688</v>
      </c>
      <c r="I91" t="str">
        <f>Tabla6[[#This Row],[DECRETO]]&amp;" - "&amp;Tabla6[[#This Row],[Nombre Obra]]</f>
        <v>293 - Ampliación en S/E Punta de Cortés para interconexión de Línea 2x220 kV Punta de Cortés - Tuniche</v>
      </c>
      <c r="J91" t="s">
        <v>154</v>
      </c>
      <c r="L91" t="s">
        <v>388</v>
      </c>
      <c r="M91" t="s">
        <v>18</v>
      </c>
      <c r="N91">
        <v>36</v>
      </c>
      <c r="O91" s="160">
        <v>0</v>
      </c>
      <c r="P91">
        <v>1970117</v>
      </c>
      <c r="Q91">
        <v>31521.871999999999</v>
      </c>
      <c r="R91">
        <v>2001638.872</v>
      </c>
      <c r="S91" t="s">
        <v>27</v>
      </c>
      <c r="T91" t="str" cm="1">
        <f t="array" ref="T91">INDEX(BASE_GRAL[ESTADO 1], MAX(IF(BASE_GRAL[ID_INDIVIDUAL]=G91, ROW(BASE_GRAL[ID_INDIVIDUAL])-MIN(ROW(BASE_GRAL[ID_INDIVIDUAL]))+1)))</f>
        <v>LICITADA</v>
      </c>
      <c r="U91" t="str" cm="1">
        <f t="array" ref="U91">INDEX(BASE_GRAL[ESTADO 2], MAX(IF(BASE_GRAL[ID_INDIVIDUAL]=G91, ROW(BASE_GRAL[ID_INDIVIDUAL])-MIN(ROW(BASE_GRAL[ID_INDIVIDUAL]))+1)))</f>
        <v>ADJUDICADA</v>
      </c>
      <c r="V91" t="str" cm="1">
        <f t="array" ref="V91">INDEX(BASE_GRAL[Proceso '[AÑO + DECRETO']], MAX(IF(BASE_GRAL[ID_INDIVIDUAL]=G91, ROW(BASE_GRAL[ID_INDIVIDUAL])-MIN(ROW(BASE_GRAL[ID_INDIVIDUAL]))+1)))</f>
        <v>3_PROCESO_ON_19</v>
      </c>
    </row>
    <row r="92" spans="1:22" x14ac:dyDescent="0.25">
      <c r="A92">
        <v>91</v>
      </c>
      <c r="B92">
        <v>2018</v>
      </c>
      <c r="C92">
        <v>293</v>
      </c>
      <c r="D92" s="6">
        <v>43433</v>
      </c>
      <c r="E92">
        <v>8</v>
      </c>
      <c r="F92" t="s">
        <v>59</v>
      </c>
      <c r="G92" t="s">
        <v>1385</v>
      </c>
      <c r="H92" t="s">
        <v>691</v>
      </c>
      <c r="I92" t="str">
        <f>Tabla6[[#This Row],[DECRETO]]&amp;" - "&amp;Tabla6[[#This Row],[Nombre Obra]]</f>
        <v>293 - Aumento de Capacidad de línea 1x66 kV Rosario - San Fernando, Segmento Tap Rengo - Pelequén</v>
      </c>
      <c r="J92" t="s">
        <v>154</v>
      </c>
      <c r="L92" t="s">
        <v>17</v>
      </c>
      <c r="M92" t="s">
        <v>33</v>
      </c>
      <c r="N92">
        <v>24</v>
      </c>
      <c r="O92" s="160">
        <v>0</v>
      </c>
      <c r="P92">
        <v>501160.00000000006</v>
      </c>
      <c r="Q92">
        <v>8018.5600000000013</v>
      </c>
      <c r="R92">
        <v>509178.56000000006</v>
      </c>
      <c r="S92" t="s">
        <v>27</v>
      </c>
      <c r="T92" t="str" cm="1">
        <f t="array" ref="T92">INDEX(BASE_GRAL[ESTADO 1], MAX(IF(BASE_GRAL[ID_INDIVIDUAL]=G92, ROW(BASE_GRAL[ID_INDIVIDUAL])-MIN(ROW(BASE_GRAL[ID_INDIVIDUAL]))+1)))</f>
        <v>LICITADA</v>
      </c>
      <c r="U92" t="str" cm="1">
        <f t="array" ref="U92">INDEX(BASE_GRAL[ESTADO 2], MAX(IF(BASE_GRAL[ID_INDIVIDUAL]=G92, ROW(BASE_GRAL[ID_INDIVIDUAL])-MIN(ROW(BASE_GRAL[ID_INDIVIDUAL]))+1)))</f>
        <v>DESIERTA - POR VMAX</v>
      </c>
      <c r="V92" t="str" cm="1">
        <f t="array" ref="V92">INDEX(BASE_GRAL[Proceso '[AÑO + DECRETO']], MAX(IF(BASE_GRAL[ID_INDIVIDUAL]=G92, ROW(BASE_GRAL[ID_INDIVIDUAL])-MIN(ROW(BASE_GRAL[ID_INDIVIDUAL]))+1)))</f>
        <v>3_PROCESO_OA_19</v>
      </c>
    </row>
    <row r="93" spans="1:22" x14ac:dyDescent="0.25">
      <c r="A93">
        <v>92</v>
      </c>
      <c r="B93">
        <v>2018</v>
      </c>
      <c r="C93">
        <v>293</v>
      </c>
      <c r="D93" s="6">
        <v>43433</v>
      </c>
      <c r="E93">
        <v>8</v>
      </c>
      <c r="F93" t="s">
        <v>59</v>
      </c>
      <c r="G93" t="s">
        <v>1386</v>
      </c>
      <c r="H93" t="s">
        <v>695</v>
      </c>
      <c r="I93" t="str">
        <f>Tabla6[[#This Row],[DECRETO]]&amp;" - "&amp;Tabla6[[#This Row],[Nombre Obra]]</f>
        <v>293 - Aumento de Capacidad de Línea 1x66 kV Pelequén - Malloa</v>
      </c>
      <c r="J93" t="s">
        <v>154</v>
      </c>
      <c r="L93" t="s">
        <v>17</v>
      </c>
      <c r="M93" t="s">
        <v>33</v>
      </c>
      <c r="N93">
        <v>24</v>
      </c>
      <c r="O93" s="160">
        <v>0</v>
      </c>
      <c r="P93">
        <v>485045</v>
      </c>
      <c r="Q93">
        <v>7760.72</v>
      </c>
      <c r="R93">
        <v>492805.72</v>
      </c>
      <c r="S93" t="s">
        <v>27</v>
      </c>
      <c r="T93" t="str" cm="1">
        <f t="array" ref="T93">INDEX(BASE_GRAL[ESTADO 1], MAX(IF(BASE_GRAL[ID_INDIVIDUAL]=G93, ROW(BASE_GRAL[ID_INDIVIDUAL])-MIN(ROW(BASE_GRAL[ID_INDIVIDUAL]))+1)))</f>
        <v>LICITADA</v>
      </c>
      <c r="U93" t="str" cm="1">
        <f t="array" ref="U93">INDEX(BASE_GRAL[ESTADO 2], MAX(IF(BASE_GRAL[ID_INDIVIDUAL]=G93, ROW(BASE_GRAL[ID_INDIVIDUAL])-MIN(ROW(BASE_GRAL[ID_INDIVIDUAL]))+1)))</f>
        <v>DESIERTA - POR VMAX</v>
      </c>
      <c r="V93" t="str" cm="1">
        <f t="array" ref="V93">INDEX(BASE_GRAL[Proceso '[AÑO + DECRETO']], MAX(IF(BASE_GRAL[ID_INDIVIDUAL]=G93, ROW(BASE_GRAL[ID_INDIVIDUAL])-MIN(ROW(BASE_GRAL[ID_INDIVIDUAL]))+1)))</f>
        <v>3_PROCESO_OA_19</v>
      </c>
    </row>
    <row r="94" spans="1:22" x14ac:dyDescent="0.25">
      <c r="A94">
        <v>93</v>
      </c>
      <c r="B94">
        <v>2018</v>
      </c>
      <c r="C94">
        <v>293</v>
      </c>
      <c r="D94" s="6">
        <v>43433</v>
      </c>
      <c r="E94">
        <v>8</v>
      </c>
      <c r="F94" t="s">
        <v>59</v>
      </c>
      <c r="G94" t="s">
        <v>1409</v>
      </c>
      <c r="H94" t="s">
        <v>698</v>
      </c>
      <c r="I94" t="str">
        <f>Tabla6[[#This Row],[DECRETO]]&amp;" - "&amp;Tabla6[[#This Row],[Nombre Obra]]</f>
        <v>293 - Nueva S/E Móvil Región del Maule</v>
      </c>
      <c r="J94" t="s">
        <v>154</v>
      </c>
      <c r="L94" t="s">
        <v>17</v>
      </c>
      <c r="M94" t="s">
        <v>18</v>
      </c>
      <c r="N94">
        <v>20</v>
      </c>
      <c r="O94" s="160">
        <v>0</v>
      </c>
      <c r="P94">
        <v>3620332</v>
      </c>
      <c r="Q94">
        <v>57925.311999999998</v>
      </c>
      <c r="R94">
        <v>3678257.3119999999</v>
      </c>
      <c r="S94" t="s">
        <v>27</v>
      </c>
      <c r="T94" t="str" cm="1">
        <f t="array" ref="T94">INDEX(BASE_GRAL[ESTADO 1], MAX(IF(BASE_GRAL[ID_INDIVIDUAL]=G94, ROW(BASE_GRAL[ID_INDIVIDUAL])-MIN(ROW(BASE_GRAL[ID_INDIVIDUAL]))+1)))</f>
        <v>LICITADA</v>
      </c>
      <c r="U94" t="str" cm="1">
        <f t="array" ref="U94">INDEX(BASE_GRAL[ESTADO 2], MAX(IF(BASE_GRAL[ID_INDIVIDUAL]=G94, ROW(BASE_GRAL[ID_INDIVIDUAL])-MIN(ROW(BASE_GRAL[ID_INDIVIDUAL]))+1)))</f>
        <v>ADJUDICADA</v>
      </c>
      <c r="V94" t="str" cm="1">
        <f t="array" ref="V94">INDEX(BASE_GRAL[Proceso '[AÑO + DECRETO']], MAX(IF(BASE_GRAL[ID_INDIVIDUAL]=G94, ROW(BASE_GRAL[ID_INDIVIDUAL])-MIN(ROW(BASE_GRAL[ID_INDIVIDUAL]))+1)))</f>
        <v>3_PROCESO_OA_19</v>
      </c>
    </row>
    <row r="95" spans="1:22" x14ac:dyDescent="0.25">
      <c r="A95">
        <v>94</v>
      </c>
      <c r="B95">
        <v>2018</v>
      </c>
      <c r="C95">
        <v>293</v>
      </c>
      <c r="D95" s="6">
        <v>43433</v>
      </c>
      <c r="E95">
        <v>8</v>
      </c>
      <c r="F95" t="s">
        <v>59</v>
      </c>
      <c r="G95" t="s">
        <v>1410</v>
      </c>
      <c r="H95" t="s">
        <v>702</v>
      </c>
      <c r="I95" t="str">
        <f>Tabla6[[#This Row],[DECRETO]]&amp;" - "&amp;Tabla6[[#This Row],[Nombre Obra]]</f>
        <v>293 - Nueva S/E Móvil Región del Biobío y Región de la Araucanía</v>
      </c>
      <c r="J95" t="s">
        <v>154</v>
      </c>
      <c r="L95" t="s">
        <v>17</v>
      </c>
      <c r="M95" t="s">
        <v>18</v>
      </c>
      <c r="N95">
        <v>20</v>
      </c>
      <c r="O95" s="160">
        <v>0</v>
      </c>
      <c r="P95">
        <v>3620332</v>
      </c>
      <c r="Q95">
        <v>57925.311999999998</v>
      </c>
      <c r="R95">
        <v>3678257.3119999999</v>
      </c>
      <c r="S95" t="s">
        <v>27</v>
      </c>
      <c r="T95" t="str" cm="1">
        <f t="array" ref="T95">INDEX(BASE_GRAL[ESTADO 1], MAX(IF(BASE_GRAL[ID_INDIVIDUAL]=G95, ROW(BASE_GRAL[ID_INDIVIDUAL])-MIN(ROW(BASE_GRAL[ID_INDIVIDUAL]))+1)))</f>
        <v>LICITADA</v>
      </c>
      <c r="U95" t="str" cm="1">
        <f t="array" ref="U95">INDEX(BASE_GRAL[ESTADO 2], MAX(IF(BASE_GRAL[ID_INDIVIDUAL]=G95, ROW(BASE_GRAL[ID_INDIVIDUAL])-MIN(ROW(BASE_GRAL[ID_INDIVIDUAL]))+1)))</f>
        <v>ADJUDICADA</v>
      </c>
      <c r="V95" t="str" cm="1">
        <f t="array" ref="V95">INDEX(BASE_GRAL[Proceso '[AÑO + DECRETO']], MAX(IF(BASE_GRAL[ID_INDIVIDUAL]=G95, ROW(BASE_GRAL[ID_INDIVIDUAL])-MIN(ROW(BASE_GRAL[ID_INDIVIDUAL]))+1)))</f>
        <v>3_PROCESO_OA_19</v>
      </c>
    </row>
    <row r="96" spans="1:22" x14ac:dyDescent="0.25">
      <c r="A96">
        <v>95</v>
      </c>
      <c r="B96">
        <v>2018</v>
      </c>
      <c r="C96">
        <v>293</v>
      </c>
      <c r="D96" s="6">
        <v>43433</v>
      </c>
      <c r="E96">
        <v>8</v>
      </c>
      <c r="F96" t="s">
        <v>59</v>
      </c>
      <c r="G96" t="s">
        <v>1387</v>
      </c>
      <c r="H96" t="s">
        <v>705</v>
      </c>
      <c r="I96" t="str">
        <f>Tabla6[[#This Row],[DECRETO]]&amp;" - "&amp;Tabla6[[#This Row],[Nombre Obra]]</f>
        <v>293 - Ampliación en S/E El Manzano</v>
      </c>
      <c r="J96" t="s">
        <v>154</v>
      </c>
      <c r="L96" t="s">
        <v>388</v>
      </c>
      <c r="M96" t="s">
        <v>18</v>
      </c>
      <c r="N96">
        <v>24</v>
      </c>
      <c r="O96" s="160">
        <v>0</v>
      </c>
      <c r="P96">
        <v>1920195</v>
      </c>
      <c r="Q96">
        <v>30723.119999999999</v>
      </c>
      <c r="R96">
        <v>1950918.12</v>
      </c>
      <c r="S96" t="s">
        <v>27</v>
      </c>
      <c r="T96" t="str" cm="1">
        <f t="array" ref="T96">INDEX(BASE_GRAL[ESTADO 1], MAX(IF(BASE_GRAL[ID_INDIVIDUAL]=G96, ROW(BASE_GRAL[ID_INDIVIDUAL])-MIN(ROW(BASE_GRAL[ID_INDIVIDUAL]))+1)))</f>
        <v>LICITADA</v>
      </c>
      <c r="U96" t="str" cm="1">
        <f t="array" ref="U96">INDEX(BASE_GRAL[ESTADO 2], MAX(IF(BASE_GRAL[ID_INDIVIDUAL]=G96, ROW(BASE_GRAL[ID_INDIVIDUAL])-MIN(ROW(BASE_GRAL[ID_INDIVIDUAL]))+1)))</f>
        <v>DESIERTA - SIN OFERTAS</v>
      </c>
      <c r="V96" t="str" cm="1">
        <f t="array" ref="V96">INDEX(BASE_GRAL[Proceso '[AÑO + DECRETO']], MAX(IF(BASE_GRAL[ID_INDIVIDUAL]=G96, ROW(BASE_GRAL[ID_INDIVIDUAL])-MIN(ROW(BASE_GRAL[ID_INDIVIDUAL]))+1)))</f>
        <v>3_PROCESO_ON_19</v>
      </c>
    </row>
    <row r="97" spans="1:22" x14ac:dyDescent="0.25">
      <c r="A97">
        <v>96</v>
      </c>
      <c r="B97">
        <v>2018</v>
      </c>
      <c r="C97">
        <v>293</v>
      </c>
      <c r="D97" s="6">
        <v>43433</v>
      </c>
      <c r="E97">
        <v>8</v>
      </c>
      <c r="F97" t="s">
        <v>59</v>
      </c>
      <c r="G97" t="s">
        <v>1388</v>
      </c>
      <c r="H97" t="s">
        <v>708</v>
      </c>
      <c r="I97" t="str">
        <f>Tabla6[[#This Row],[DECRETO]]&amp;" - "&amp;Tabla6[[#This Row],[Nombre Obra]]</f>
        <v>293 - Ampliación S/E La Esperanza</v>
      </c>
      <c r="J97" t="s">
        <v>154</v>
      </c>
      <c r="L97" t="s">
        <v>388</v>
      </c>
      <c r="M97" t="s">
        <v>18</v>
      </c>
      <c r="N97">
        <v>24</v>
      </c>
      <c r="O97" s="160">
        <v>0</v>
      </c>
      <c r="P97">
        <v>785617</v>
      </c>
      <c r="Q97">
        <v>12569.871999999999</v>
      </c>
      <c r="R97">
        <v>798186.87199999997</v>
      </c>
      <c r="S97" t="s">
        <v>27</v>
      </c>
      <c r="T97" t="str" cm="1">
        <f t="array" ref="T97">INDEX(BASE_GRAL[ESTADO 1], MAX(IF(BASE_GRAL[ID_INDIVIDUAL]=G97, ROW(BASE_GRAL[ID_INDIVIDUAL])-MIN(ROW(BASE_GRAL[ID_INDIVIDUAL]))+1)))</f>
        <v>LICITADA</v>
      </c>
      <c r="U97" t="str" cm="1">
        <f t="array" ref="U97">INDEX(BASE_GRAL[ESTADO 2], MAX(IF(BASE_GRAL[ID_INDIVIDUAL]=G97, ROW(BASE_GRAL[ID_INDIVIDUAL])-MIN(ROW(BASE_GRAL[ID_INDIVIDUAL]))+1)))</f>
        <v>DESIERTA - SIN OFERTAS</v>
      </c>
      <c r="V97" t="str" cm="1">
        <f t="array" ref="V97">INDEX(BASE_GRAL[Proceso '[AÑO + DECRETO']], MAX(IF(BASE_GRAL[ID_INDIVIDUAL]=G97, ROW(BASE_GRAL[ID_INDIVIDUAL])-MIN(ROW(BASE_GRAL[ID_INDIVIDUAL]))+1)))</f>
        <v>3_PROCESO_ON_19</v>
      </c>
    </row>
    <row r="98" spans="1:22" x14ac:dyDescent="0.25">
      <c r="A98">
        <v>97</v>
      </c>
      <c r="B98">
        <v>2018</v>
      </c>
      <c r="C98">
        <v>293</v>
      </c>
      <c r="D98" s="6">
        <v>43433</v>
      </c>
      <c r="E98">
        <v>8</v>
      </c>
      <c r="F98" t="s">
        <v>59</v>
      </c>
      <c r="G98" t="s">
        <v>1411</v>
      </c>
      <c r="H98" t="s">
        <v>711</v>
      </c>
      <c r="I98" t="str">
        <f>Tabla6[[#This Row],[DECRETO]]&amp;" - "&amp;Tabla6[[#This Row],[Nombre Obra]]</f>
        <v>293 - Ampliación en S/E Negrete</v>
      </c>
      <c r="J98" t="s">
        <v>154</v>
      </c>
      <c r="L98" t="s">
        <v>17</v>
      </c>
      <c r="M98" t="s">
        <v>18</v>
      </c>
      <c r="N98">
        <v>24</v>
      </c>
      <c r="O98" s="160">
        <v>0</v>
      </c>
      <c r="P98">
        <v>2077202.0000000002</v>
      </c>
      <c r="Q98">
        <v>33235.232000000004</v>
      </c>
      <c r="R98">
        <v>2110437.2320000003</v>
      </c>
      <c r="S98" t="s">
        <v>712</v>
      </c>
      <c r="T98" t="str" cm="1">
        <f t="array" ref="T98">INDEX(BASE_GRAL[ESTADO 1], MAX(IF(BASE_GRAL[ID_INDIVIDUAL]=G98, ROW(BASE_GRAL[ID_INDIVIDUAL])-MIN(ROW(BASE_GRAL[ID_INDIVIDUAL]))+1)))</f>
        <v>LICITADA</v>
      </c>
      <c r="U98" t="str" cm="1">
        <f t="array" ref="U98">INDEX(BASE_GRAL[ESTADO 2], MAX(IF(BASE_GRAL[ID_INDIVIDUAL]=G98, ROW(BASE_GRAL[ID_INDIVIDUAL])-MIN(ROW(BASE_GRAL[ID_INDIVIDUAL]))+1)))</f>
        <v>ADJUDICADA</v>
      </c>
      <c r="V98" t="str" cm="1">
        <f t="array" ref="V98">INDEX(BASE_GRAL[Proceso '[AÑO + DECRETO']], MAX(IF(BASE_GRAL[ID_INDIVIDUAL]=G98, ROW(BASE_GRAL[ID_INDIVIDUAL])-MIN(ROW(BASE_GRAL[ID_INDIVIDUAL]))+1)))</f>
        <v>3_PROCESO_OA_19</v>
      </c>
    </row>
    <row r="99" spans="1:22" x14ac:dyDescent="0.25">
      <c r="A99">
        <v>98</v>
      </c>
      <c r="B99">
        <v>2018</v>
      </c>
      <c r="C99">
        <v>293</v>
      </c>
      <c r="D99" s="6">
        <v>43433</v>
      </c>
      <c r="E99">
        <v>8</v>
      </c>
      <c r="F99" t="s">
        <v>59</v>
      </c>
      <c r="G99" t="s">
        <v>1412</v>
      </c>
      <c r="H99" t="s">
        <v>717</v>
      </c>
      <c r="I99" t="str">
        <f>Tabla6[[#This Row],[DECRETO]]&amp;" - "&amp;Tabla6[[#This Row],[Nombre Obra]]</f>
        <v>293 - Ampliación en S/E Laja</v>
      </c>
      <c r="J99" t="s">
        <v>154</v>
      </c>
      <c r="L99" t="s">
        <v>388</v>
      </c>
      <c r="M99" t="s">
        <v>18</v>
      </c>
      <c r="N99">
        <v>24</v>
      </c>
      <c r="O99" s="160">
        <v>0</v>
      </c>
      <c r="P99">
        <v>580426</v>
      </c>
      <c r="Q99">
        <v>9286.8160000000007</v>
      </c>
      <c r="R99">
        <v>589712.81599999999</v>
      </c>
      <c r="S99" t="s">
        <v>34</v>
      </c>
      <c r="T99" t="str" cm="1">
        <f t="array" ref="T99">INDEX(BASE_GRAL[ESTADO 1], MAX(IF(BASE_GRAL[ID_INDIVIDUAL]=G99, ROW(BASE_GRAL[ID_INDIVIDUAL])-MIN(ROW(BASE_GRAL[ID_INDIVIDUAL]))+1)))</f>
        <v>LICITADA</v>
      </c>
      <c r="U99" t="str" cm="1">
        <f t="array" ref="U99">INDEX(BASE_GRAL[ESTADO 2], MAX(IF(BASE_GRAL[ID_INDIVIDUAL]=G99, ROW(BASE_GRAL[ID_INDIVIDUAL])-MIN(ROW(BASE_GRAL[ID_INDIVIDUAL]))+1)))</f>
        <v>ADJUDICADA</v>
      </c>
      <c r="V99" t="str" cm="1">
        <f t="array" ref="V99">INDEX(BASE_GRAL[Proceso '[AÑO + DECRETO']], MAX(IF(BASE_GRAL[ID_INDIVIDUAL]=G99, ROW(BASE_GRAL[ID_INDIVIDUAL])-MIN(ROW(BASE_GRAL[ID_INDIVIDUAL]))+1)))</f>
        <v>3_PROCESO_ON_19</v>
      </c>
    </row>
    <row r="100" spans="1:22" x14ac:dyDescent="0.25">
      <c r="A100">
        <v>99</v>
      </c>
      <c r="B100">
        <v>2018</v>
      </c>
      <c r="C100">
        <v>293</v>
      </c>
      <c r="D100" s="6">
        <v>43433</v>
      </c>
      <c r="E100">
        <v>8</v>
      </c>
      <c r="F100" t="s">
        <v>59</v>
      </c>
      <c r="G100" t="s">
        <v>1413</v>
      </c>
      <c r="H100" t="s">
        <v>721</v>
      </c>
      <c r="I100" t="str">
        <f>Tabla6[[#This Row],[DECRETO]]&amp;" - "&amp;Tabla6[[#This Row],[Nombre Obra]]</f>
        <v>293 - Ampliación en S/E Celulosa Laja</v>
      </c>
      <c r="J100" t="s">
        <v>154</v>
      </c>
      <c r="L100" t="s">
        <v>388</v>
      </c>
      <c r="M100" t="s">
        <v>18</v>
      </c>
      <c r="N100">
        <v>24</v>
      </c>
      <c r="O100" s="160">
        <v>0</v>
      </c>
      <c r="P100">
        <v>774972</v>
      </c>
      <c r="Q100">
        <v>12399.552</v>
      </c>
      <c r="R100">
        <v>787371.55200000003</v>
      </c>
      <c r="S100" t="s">
        <v>722</v>
      </c>
      <c r="T100" t="str" cm="1">
        <f t="array" ref="T100">INDEX(BASE_GRAL[ESTADO 1], MAX(IF(BASE_GRAL[ID_INDIVIDUAL]=G100, ROW(BASE_GRAL[ID_INDIVIDUAL])-MIN(ROW(BASE_GRAL[ID_INDIVIDUAL]))+1)))</f>
        <v>LICITADA</v>
      </c>
      <c r="U100" t="str" cm="1">
        <f t="array" ref="U100">INDEX(BASE_GRAL[ESTADO 2], MAX(IF(BASE_GRAL[ID_INDIVIDUAL]=G100, ROW(BASE_GRAL[ID_INDIVIDUAL])-MIN(ROW(BASE_GRAL[ID_INDIVIDUAL]))+1)))</f>
        <v>ADJUDICADA</v>
      </c>
      <c r="V100" t="str" cm="1">
        <f t="array" ref="V100">INDEX(BASE_GRAL[Proceso '[AÑO + DECRETO']], MAX(IF(BASE_GRAL[ID_INDIVIDUAL]=G100, ROW(BASE_GRAL[ID_INDIVIDUAL])-MIN(ROW(BASE_GRAL[ID_INDIVIDUAL]))+1)))</f>
        <v>3_PROCESO_ON_19</v>
      </c>
    </row>
    <row r="101" spans="1:22" x14ac:dyDescent="0.25">
      <c r="A101">
        <v>100</v>
      </c>
      <c r="B101">
        <v>2018</v>
      </c>
      <c r="C101">
        <v>293</v>
      </c>
      <c r="D101" s="6">
        <v>43433</v>
      </c>
      <c r="E101">
        <v>8</v>
      </c>
      <c r="F101" t="s">
        <v>59</v>
      </c>
      <c r="G101" t="s">
        <v>1389</v>
      </c>
      <c r="H101" t="s">
        <v>725</v>
      </c>
      <c r="I101" t="str">
        <f>Tabla6[[#This Row],[DECRETO]]&amp;" - "&amp;Tabla6[[#This Row],[Nombre Obra]]</f>
        <v>293 - Aumento de Capacidad Línea 1x66 kV Chacahuín - Linares</v>
      </c>
      <c r="J101" t="s">
        <v>154</v>
      </c>
      <c r="L101" t="s">
        <v>17</v>
      </c>
      <c r="M101" t="s">
        <v>18</v>
      </c>
      <c r="N101">
        <v>12</v>
      </c>
      <c r="O101" s="160">
        <v>0</v>
      </c>
      <c r="P101">
        <v>244548</v>
      </c>
      <c r="Q101">
        <v>3912.768</v>
      </c>
      <c r="R101">
        <v>248460.76800000001</v>
      </c>
      <c r="S101" t="s">
        <v>34</v>
      </c>
      <c r="T101" t="str" cm="1">
        <f t="array" ref="T101">INDEX(BASE_GRAL[ESTADO 1], MAX(IF(BASE_GRAL[ID_INDIVIDUAL]=G101, ROW(BASE_GRAL[ID_INDIVIDUAL])-MIN(ROW(BASE_GRAL[ID_INDIVIDUAL]))+1)))</f>
        <v>LICITADA</v>
      </c>
      <c r="U101" t="str" cm="1">
        <f t="array" ref="U101">INDEX(BASE_GRAL[ESTADO 2], MAX(IF(BASE_GRAL[ID_INDIVIDUAL]=G101, ROW(BASE_GRAL[ID_INDIVIDUAL])-MIN(ROW(BASE_GRAL[ID_INDIVIDUAL]))+1)))</f>
        <v>DESIERTA - POR VMAX</v>
      </c>
      <c r="V101" t="str" cm="1">
        <f t="array" ref="V101">INDEX(BASE_GRAL[Proceso '[AÑO + DECRETO']], MAX(IF(BASE_GRAL[ID_INDIVIDUAL]=G101, ROW(BASE_GRAL[ID_INDIVIDUAL])-MIN(ROW(BASE_GRAL[ID_INDIVIDUAL]))+1)))</f>
        <v>3_PROCESO_OA_19</v>
      </c>
    </row>
  </sheetData>
  <phoneticPr fontId="1" type="noConversion"/>
  <dataValidations count="4">
    <dataValidation type="list" allowBlank="1" showInputMessage="1" showErrorMessage="1" sqref="F2:F101" xr:uid="{FC239395-8C13-4176-B8D7-0E393F21292E}">
      <formula1>"A,B,C,D,E,F,G,H,I,J,K,L,M"</formula1>
    </dataValidation>
    <dataValidation type="list" allowBlank="1" showInputMessage="1" showErrorMessage="1" sqref="J2:J101" xr:uid="{F5928C97-16BC-41BE-A007-05FB266F5090}">
      <formula1>"ZONAL,NACIONAL"</formula1>
    </dataValidation>
    <dataValidation type="list" allowBlank="1" showInputMessage="1" showErrorMessage="1" sqref="L2:L101" xr:uid="{335DDAA7-4A6C-4591-BB00-6B01B8838F8E}">
      <formula1>"OA,ON,OAC"</formula1>
    </dataValidation>
    <dataValidation type="list" allowBlank="1" showInputMessage="1" showErrorMessage="1" sqref="M2:M101" xr:uid="{23857001-AF20-4869-8D79-8B3AC8397F94}">
      <formula1>"S/E,LT,S/E + LT"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5E164-1521-4328-8B4A-9819CE3742E5}">
  <sheetPr codeName="Hoja7"/>
  <dimension ref="B1:H33"/>
  <sheetViews>
    <sheetView topLeftCell="B1" zoomScale="85" zoomScaleNormal="85" workbookViewId="0">
      <selection activeCell="C2" sqref="C2:C22"/>
    </sheetView>
  </sheetViews>
  <sheetFormatPr baseColWidth="10" defaultRowHeight="15" x14ac:dyDescent="0.25"/>
  <cols>
    <col min="2" max="3" width="18.140625" bestFit="1" customWidth="1"/>
    <col min="4" max="4" width="37.7109375" bestFit="1" customWidth="1"/>
    <col min="5" max="5" width="14.42578125" customWidth="1"/>
    <col min="6" max="6" width="15.28515625" customWidth="1"/>
    <col min="7" max="7" width="26.5703125" customWidth="1"/>
    <col min="8" max="8" width="22.5703125" bestFit="1" customWidth="1"/>
  </cols>
  <sheetData>
    <row r="1" spans="2:8" x14ac:dyDescent="0.25">
      <c r="B1" s="113" t="s">
        <v>143</v>
      </c>
      <c r="C1" s="111" t="s">
        <v>1320</v>
      </c>
      <c r="D1" s="111" t="s">
        <v>1322</v>
      </c>
      <c r="E1" s="111" t="s">
        <v>3</v>
      </c>
      <c r="F1" s="111" t="s">
        <v>1323</v>
      </c>
      <c r="G1" s="111" t="s">
        <v>1325</v>
      </c>
      <c r="H1" s="112" t="s">
        <v>1321</v>
      </c>
    </row>
    <row r="2" spans="2:8" x14ac:dyDescent="0.25">
      <c r="B2" t="s">
        <v>1129</v>
      </c>
      <c r="C2" t="s">
        <v>176</v>
      </c>
      <c r="D2" t="s">
        <v>1181</v>
      </c>
      <c r="E2" t="s">
        <v>17</v>
      </c>
      <c r="F2" t="s">
        <v>18</v>
      </c>
      <c r="G2" t="s">
        <v>155</v>
      </c>
      <c r="H2" t="s">
        <v>1224</v>
      </c>
    </row>
    <row r="3" spans="2:8" x14ac:dyDescent="0.25">
      <c r="B3" t="s">
        <v>1130</v>
      </c>
      <c r="C3" t="s">
        <v>176</v>
      </c>
      <c r="D3" t="s">
        <v>35</v>
      </c>
      <c r="E3" t="s">
        <v>17</v>
      </c>
      <c r="F3" t="s">
        <v>18</v>
      </c>
      <c r="G3" t="s">
        <v>155</v>
      </c>
      <c r="H3" t="s">
        <v>1230</v>
      </c>
    </row>
    <row r="4" spans="2:8" x14ac:dyDescent="0.25">
      <c r="B4" t="s">
        <v>1131</v>
      </c>
      <c r="C4" t="s">
        <v>176</v>
      </c>
      <c r="D4" t="s">
        <v>41</v>
      </c>
      <c r="E4" t="s">
        <v>17</v>
      </c>
      <c r="F4" t="s">
        <v>18</v>
      </c>
      <c r="G4" t="s">
        <v>155</v>
      </c>
      <c r="H4" t="s">
        <v>1230</v>
      </c>
    </row>
    <row r="5" spans="2:8" x14ac:dyDescent="0.25">
      <c r="B5" t="s">
        <v>1132</v>
      </c>
      <c r="C5" t="s">
        <v>176</v>
      </c>
      <c r="D5" t="s">
        <v>39</v>
      </c>
      <c r="E5" t="s">
        <v>17</v>
      </c>
      <c r="F5" t="s">
        <v>18</v>
      </c>
      <c r="G5" t="s">
        <v>155</v>
      </c>
      <c r="H5" t="s">
        <v>1230</v>
      </c>
    </row>
    <row r="6" spans="2:8" x14ac:dyDescent="0.25">
      <c r="B6" t="s">
        <v>1142</v>
      </c>
      <c r="C6" t="s">
        <v>176</v>
      </c>
      <c r="D6" t="s">
        <v>1189</v>
      </c>
      <c r="E6" t="s">
        <v>17</v>
      </c>
      <c r="F6" t="s">
        <v>18</v>
      </c>
      <c r="G6" t="s">
        <v>155</v>
      </c>
      <c r="H6" t="s">
        <v>1230</v>
      </c>
    </row>
    <row r="7" spans="2:8" x14ac:dyDescent="0.25">
      <c r="B7" t="s">
        <v>1178</v>
      </c>
      <c r="C7" t="s">
        <v>176</v>
      </c>
      <c r="D7" t="s">
        <v>1191</v>
      </c>
      <c r="E7" t="s">
        <v>17</v>
      </c>
      <c r="F7" t="s">
        <v>18</v>
      </c>
      <c r="G7" t="s">
        <v>155</v>
      </c>
      <c r="H7" t="s">
        <v>1230</v>
      </c>
    </row>
    <row r="8" spans="2:8" x14ac:dyDescent="0.25">
      <c r="B8" t="s">
        <v>1179</v>
      </c>
      <c r="C8" t="s">
        <v>176</v>
      </c>
      <c r="D8" t="s">
        <v>1192</v>
      </c>
      <c r="E8" t="s">
        <v>17</v>
      </c>
      <c r="F8" t="s">
        <v>18</v>
      </c>
      <c r="G8" t="s">
        <v>155</v>
      </c>
      <c r="H8" t="s">
        <v>1230</v>
      </c>
    </row>
    <row r="9" spans="2:8" x14ac:dyDescent="0.25">
      <c r="B9" t="s">
        <v>1144</v>
      </c>
      <c r="C9" t="s">
        <v>176</v>
      </c>
      <c r="D9" t="s">
        <v>1193</v>
      </c>
      <c r="E9" t="s">
        <v>17</v>
      </c>
      <c r="F9" t="s">
        <v>18</v>
      </c>
      <c r="G9" t="s">
        <v>155</v>
      </c>
      <c r="H9" t="s">
        <v>1230</v>
      </c>
    </row>
    <row r="10" spans="2:8" x14ac:dyDescent="0.25">
      <c r="B10" t="s">
        <v>1145</v>
      </c>
      <c r="C10" t="s">
        <v>176</v>
      </c>
      <c r="D10" t="s">
        <v>1194</v>
      </c>
      <c r="E10" t="s">
        <v>17</v>
      </c>
      <c r="F10" t="s">
        <v>18</v>
      </c>
      <c r="G10" t="s">
        <v>155</v>
      </c>
      <c r="H10" t="s">
        <v>1230</v>
      </c>
    </row>
    <row r="11" spans="2:8" x14ac:dyDescent="0.25">
      <c r="B11" t="s">
        <v>1180</v>
      </c>
      <c r="C11" t="s">
        <v>176</v>
      </c>
      <c r="D11" t="s">
        <v>731</v>
      </c>
      <c r="E11" t="s">
        <v>17</v>
      </c>
      <c r="F11" t="s">
        <v>18</v>
      </c>
      <c r="G11" t="s">
        <v>155</v>
      </c>
      <c r="H11" t="s">
        <v>1230</v>
      </c>
    </row>
    <row r="12" spans="2:8" x14ac:dyDescent="0.25">
      <c r="B12" t="s">
        <v>1159</v>
      </c>
      <c r="C12" t="s">
        <v>176</v>
      </c>
      <c r="D12" t="s">
        <v>1206</v>
      </c>
      <c r="E12" t="s">
        <v>17</v>
      </c>
      <c r="F12" t="s">
        <v>18</v>
      </c>
      <c r="G12" t="s">
        <v>155</v>
      </c>
      <c r="H12" t="s">
        <v>1230</v>
      </c>
    </row>
    <row r="13" spans="2:8" x14ac:dyDescent="0.25">
      <c r="B13" t="s">
        <v>1160</v>
      </c>
      <c r="C13" t="s">
        <v>176</v>
      </c>
      <c r="D13" t="s">
        <v>1207</v>
      </c>
      <c r="E13" t="s">
        <v>17</v>
      </c>
      <c r="F13" t="s">
        <v>18</v>
      </c>
      <c r="G13" t="s">
        <v>155</v>
      </c>
      <c r="H13" t="s">
        <v>1230</v>
      </c>
    </row>
    <row r="14" spans="2:8" x14ac:dyDescent="0.25">
      <c r="B14" t="s">
        <v>1161</v>
      </c>
      <c r="C14" t="s">
        <v>176</v>
      </c>
      <c r="D14" t="s">
        <v>1208</v>
      </c>
      <c r="E14" t="s">
        <v>17</v>
      </c>
      <c r="F14" t="s">
        <v>18</v>
      </c>
      <c r="G14" t="s">
        <v>155</v>
      </c>
      <c r="H14" t="s">
        <v>1230</v>
      </c>
    </row>
    <row r="15" spans="2:8" x14ac:dyDescent="0.25">
      <c r="B15" t="s">
        <v>1162</v>
      </c>
      <c r="C15" t="s">
        <v>176</v>
      </c>
      <c r="D15" t="s">
        <v>1209</v>
      </c>
      <c r="E15" t="s">
        <v>17</v>
      </c>
      <c r="F15" t="s">
        <v>18</v>
      </c>
      <c r="G15" t="s">
        <v>155</v>
      </c>
      <c r="H15" t="s">
        <v>1230</v>
      </c>
    </row>
    <row r="16" spans="2:8" x14ac:dyDescent="0.25">
      <c r="B16" t="s">
        <v>1163</v>
      </c>
      <c r="C16" t="s">
        <v>176</v>
      </c>
      <c r="D16" t="s">
        <v>1210</v>
      </c>
      <c r="E16" t="s">
        <v>17</v>
      </c>
      <c r="F16" t="s">
        <v>18</v>
      </c>
      <c r="G16" t="s">
        <v>155</v>
      </c>
      <c r="H16" t="s">
        <v>1230</v>
      </c>
    </row>
    <row r="17" spans="2:8" x14ac:dyDescent="0.25">
      <c r="B17" t="s">
        <v>1164</v>
      </c>
      <c r="C17" t="s">
        <v>176</v>
      </c>
      <c r="D17" t="s">
        <v>1211</v>
      </c>
      <c r="E17" t="s">
        <v>17</v>
      </c>
      <c r="F17" t="s">
        <v>18</v>
      </c>
      <c r="G17" t="s">
        <v>155</v>
      </c>
      <c r="H17" t="s">
        <v>1224</v>
      </c>
    </row>
    <row r="18" spans="2:8" x14ac:dyDescent="0.25">
      <c r="B18" t="s">
        <v>1165</v>
      </c>
      <c r="C18" t="s">
        <v>176</v>
      </c>
      <c r="D18" t="s">
        <v>93</v>
      </c>
      <c r="E18" t="s">
        <v>17</v>
      </c>
      <c r="F18" t="s">
        <v>18</v>
      </c>
      <c r="G18" t="s">
        <v>155</v>
      </c>
      <c r="H18" t="s">
        <v>1224</v>
      </c>
    </row>
    <row r="19" spans="2:8" x14ac:dyDescent="0.25">
      <c r="B19" t="s">
        <v>1166</v>
      </c>
      <c r="C19" t="s">
        <v>176</v>
      </c>
      <c r="D19" t="s">
        <v>742</v>
      </c>
      <c r="E19" t="s">
        <v>17</v>
      </c>
      <c r="F19" t="s">
        <v>18</v>
      </c>
      <c r="G19" t="s">
        <v>155</v>
      </c>
      <c r="H19" t="s">
        <v>1224</v>
      </c>
    </row>
    <row r="20" spans="2:8" x14ac:dyDescent="0.25">
      <c r="B20" t="s">
        <v>1172</v>
      </c>
      <c r="C20" t="s">
        <v>176</v>
      </c>
      <c r="D20" t="s">
        <v>1217</v>
      </c>
      <c r="E20" t="s">
        <v>17</v>
      </c>
      <c r="F20" t="s">
        <v>18</v>
      </c>
      <c r="G20" t="s">
        <v>155</v>
      </c>
      <c r="H20" t="s">
        <v>1231</v>
      </c>
    </row>
    <row r="21" spans="2:8" x14ac:dyDescent="0.25">
      <c r="B21" t="s">
        <v>1173</v>
      </c>
      <c r="C21" t="s">
        <v>176</v>
      </c>
      <c r="D21" t="s">
        <v>1218</v>
      </c>
      <c r="E21" t="s">
        <v>17</v>
      </c>
      <c r="F21" t="s">
        <v>18</v>
      </c>
      <c r="G21" t="s">
        <v>155</v>
      </c>
      <c r="H21" t="s">
        <v>1231</v>
      </c>
    </row>
    <row r="22" spans="2:8" x14ac:dyDescent="0.25">
      <c r="B22" t="s">
        <v>1174</v>
      </c>
      <c r="C22" t="s">
        <v>176</v>
      </c>
      <c r="D22" t="s">
        <v>1219</v>
      </c>
      <c r="E22" t="s">
        <v>17</v>
      </c>
      <c r="F22" t="s">
        <v>18</v>
      </c>
      <c r="G22" t="s">
        <v>155</v>
      </c>
      <c r="H22" t="s">
        <v>1231</v>
      </c>
    </row>
    <row r="23" spans="2:8" x14ac:dyDescent="0.25">
      <c r="B23" t="s">
        <v>1379</v>
      </c>
      <c r="C23" t="s">
        <v>1301</v>
      </c>
      <c r="D23" t="s">
        <v>620</v>
      </c>
      <c r="E23" t="s">
        <v>388</v>
      </c>
      <c r="F23" t="s">
        <v>18</v>
      </c>
      <c r="G23" t="s">
        <v>155</v>
      </c>
      <c r="H23" t="s">
        <v>1224</v>
      </c>
    </row>
    <row r="24" spans="2:8" x14ac:dyDescent="0.25">
      <c r="B24" t="s">
        <v>1380</v>
      </c>
      <c r="C24" t="s">
        <v>1301</v>
      </c>
      <c r="D24" t="s">
        <v>624</v>
      </c>
      <c r="E24" t="s">
        <v>388</v>
      </c>
      <c r="F24" t="s">
        <v>18</v>
      </c>
      <c r="G24" t="s">
        <v>155</v>
      </c>
      <c r="H24" t="s">
        <v>1224</v>
      </c>
    </row>
    <row r="25" spans="2:8" x14ac:dyDescent="0.25">
      <c r="B25" t="s">
        <v>1381</v>
      </c>
      <c r="C25" t="s">
        <v>1301</v>
      </c>
      <c r="D25" t="s">
        <v>628</v>
      </c>
      <c r="E25" t="s">
        <v>388</v>
      </c>
      <c r="F25" t="s">
        <v>18</v>
      </c>
      <c r="G25" t="s">
        <v>155</v>
      </c>
      <c r="H25" t="s">
        <v>1224</v>
      </c>
    </row>
    <row r="26" spans="2:8" x14ac:dyDescent="0.25">
      <c r="B26" t="s">
        <v>1382</v>
      </c>
      <c r="C26" t="s">
        <v>1261</v>
      </c>
      <c r="D26" t="s">
        <v>635</v>
      </c>
      <c r="E26" t="s">
        <v>17</v>
      </c>
      <c r="F26" t="s">
        <v>18</v>
      </c>
      <c r="G26" t="s">
        <v>155</v>
      </c>
      <c r="H26" t="s">
        <v>1226</v>
      </c>
    </row>
    <row r="27" spans="2:8" x14ac:dyDescent="0.25">
      <c r="B27" t="s">
        <v>1383</v>
      </c>
      <c r="C27" t="s">
        <v>1261</v>
      </c>
      <c r="D27" t="s">
        <v>674</v>
      </c>
      <c r="E27" t="s">
        <v>17</v>
      </c>
      <c r="F27" t="s">
        <v>18</v>
      </c>
      <c r="G27" t="s">
        <v>155</v>
      </c>
      <c r="H27" t="s">
        <v>1226</v>
      </c>
    </row>
    <row r="28" spans="2:8" x14ac:dyDescent="0.25">
      <c r="B28" t="s">
        <v>1384</v>
      </c>
      <c r="C28" t="s">
        <v>1261</v>
      </c>
      <c r="D28" t="s">
        <v>678</v>
      </c>
      <c r="E28" t="s">
        <v>17</v>
      </c>
      <c r="F28" t="s">
        <v>18</v>
      </c>
      <c r="G28" t="s">
        <v>155</v>
      </c>
      <c r="H28" t="s">
        <v>1226</v>
      </c>
    </row>
    <row r="29" spans="2:8" x14ac:dyDescent="0.25">
      <c r="B29" t="s">
        <v>1385</v>
      </c>
      <c r="C29" t="s">
        <v>1261</v>
      </c>
      <c r="D29" t="s">
        <v>691</v>
      </c>
      <c r="E29" t="s">
        <v>17</v>
      </c>
      <c r="F29" t="s">
        <v>33</v>
      </c>
      <c r="G29" t="s">
        <v>155</v>
      </c>
      <c r="H29" t="s">
        <v>1226</v>
      </c>
    </row>
    <row r="30" spans="2:8" x14ac:dyDescent="0.25">
      <c r="B30" t="s">
        <v>1386</v>
      </c>
      <c r="C30" t="s">
        <v>1261</v>
      </c>
      <c r="D30" t="s">
        <v>695</v>
      </c>
      <c r="E30" t="s">
        <v>17</v>
      </c>
      <c r="F30" t="s">
        <v>33</v>
      </c>
      <c r="G30" t="s">
        <v>155</v>
      </c>
      <c r="H30" t="s">
        <v>1226</v>
      </c>
    </row>
    <row r="31" spans="2:8" x14ac:dyDescent="0.25">
      <c r="B31" t="s">
        <v>1387</v>
      </c>
      <c r="C31" t="s">
        <v>1301</v>
      </c>
      <c r="D31" t="s">
        <v>705</v>
      </c>
      <c r="E31" t="s">
        <v>388</v>
      </c>
      <c r="F31" t="s">
        <v>18</v>
      </c>
      <c r="G31" t="s">
        <v>155</v>
      </c>
      <c r="H31" t="s">
        <v>1224</v>
      </c>
    </row>
    <row r="32" spans="2:8" x14ac:dyDescent="0.25">
      <c r="B32" t="s">
        <v>1388</v>
      </c>
      <c r="C32" t="s">
        <v>1301</v>
      </c>
      <c r="D32" t="s">
        <v>708</v>
      </c>
      <c r="E32" t="s">
        <v>388</v>
      </c>
      <c r="F32" t="s">
        <v>18</v>
      </c>
      <c r="G32" t="s">
        <v>155</v>
      </c>
      <c r="H32" t="s">
        <v>1224</v>
      </c>
    </row>
    <row r="33" spans="2:8" x14ac:dyDescent="0.25">
      <c r="B33" t="s">
        <v>1389</v>
      </c>
      <c r="C33" t="s">
        <v>1261</v>
      </c>
      <c r="D33" t="s">
        <v>725</v>
      </c>
      <c r="E33" t="s">
        <v>17</v>
      </c>
      <c r="F33" t="s">
        <v>18</v>
      </c>
      <c r="G33" t="s">
        <v>155</v>
      </c>
      <c r="H33" t="s">
        <v>1226</v>
      </c>
    </row>
  </sheetData>
  <conditionalFormatting sqref="B1:B1048576">
    <cfRule type="duplicateValues" dxfId="79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E6484-0FCB-4D52-9F62-7DC88D2C4BFA}">
  <sheetPr codeName="Hoja2"/>
  <dimension ref="B3:E94"/>
  <sheetViews>
    <sheetView showGridLines="0" workbookViewId="0">
      <selection activeCell="B33" sqref="B33"/>
    </sheetView>
  </sheetViews>
  <sheetFormatPr baseColWidth="10" defaultRowHeight="15" x14ac:dyDescent="0.25"/>
  <cols>
    <col min="2" max="2" width="36" bestFit="1" customWidth="1"/>
    <col min="3" max="3" width="3" customWidth="1"/>
    <col min="4" max="4" width="29.28515625" customWidth="1"/>
  </cols>
  <sheetData>
    <row r="3" spans="2:5" ht="18.75" x14ac:dyDescent="0.3">
      <c r="D3" s="171" t="s">
        <v>1316</v>
      </c>
      <c r="E3" s="171"/>
    </row>
    <row r="4" spans="2:5" ht="15.75" x14ac:dyDescent="0.25">
      <c r="B4" s="107"/>
    </row>
    <row r="5" spans="2:5" ht="24.75" customHeight="1" x14ac:dyDescent="0.25">
      <c r="B5" s="107" t="s">
        <v>1309</v>
      </c>
      <c r="D5" s="108"/>
    </row>
    <row r="6" spans="2:5" ht="15.75" x14ac:dyDescent="0.25">
      <c r="B6" s="107"/>
    </row>
    <row r="7" spans="2:5" ht="15.75" x14ac:dyDescent="0.25">
      <c r="B7" s="107" t="s">
        <v>1310</v>
      </c>
      <c r="D7" s="109"/>
    </row>
    <row r="8" spans="2:5" ht="15.75" x14ac:dyDescent="0.25">
      <c r="B8" s="107"/>
      <c r="D8" s="110"/>
    </row>
    <row r="9" spans="2:5" ht="15.75" x14ac:dyDescent="0.25">
      <c r="B9" s="107" t="s">
        <v>1311</v>
      </c>
      <c r="D9" s="109"/>
    </row>
    <row r="10" spans="2:5" ht="15.75" x14ac:dyDescent="0.25">
      <c r="B10" s="107"/>
    </row>
    <row r="11" spans="2:5" ht="15.75" x14ac:dyDescent="0.25">
      <c r="B11" s="107" t="s">
        <v>1312</v>
      </c>
      <c r="D11" s="109"/>
    </row>
    <row r="12" spans="2:5" ht="15.75" x14ac:dyDescent="0.25">
      <c r="B12" s="107"/>
    </row>
    <row r="13" spans="2:5" ht="15.75" x14ac:dyDescent="0.25">
      <c r="B13" s="107" t="s">
        <v>1313</v>
      </c>
      <c r="D13" s="109"/>
    </row>
    <row r="14" spans="2:5" ht="15.75" x14ac:dyDescent="0.25">
      <c r="B14" s="107"/>
    </row>
    <row r="15" spans="2:5" ht="15.75" x14ac:dyDescent="0.25">
      <c r="B15" s="107" t="s">
        <v>1314</v>
      </c>
      <c r="D15" s="109"/>
    </row>
    <row r="16" spans="2:5" ht="15.75" x14ac:dyDescent="0.25">
      <c r="B16" s="107"/>
      <c r="D16" s="17"/>
    </row>
    <row r="17" spans="2:4" ht="15.75" x14ac:dyDescent="0.25">
      <c r="B17" s="107" t="s">
        <v>1315</v>
      </c>
      <c r="D17" s="109"/>
    </row>
    <row r="22" spans="2:4" x14ac:dyDescent="0.25">
      <c r="D22" s="17"/>
    </row>
    <row r="23" spans="2:4" x14ac:dyDescent="0.25">
      <c r="D23" s="17"/>
    </row>
    <row r="25" spans="2:4" x14ac:dyDescent="0.25">
      <c r="D25" s="17"/>
    </row>
    <row r="26" spans="2:4" x14ac:dyDescent="0.25">
      <c r="D26" s="17"/>
    </row>
    <row r="27" spans="2:4" x14ac:dyDescent="0.25">
      <c r="D27" s="17"/>
    </row>
    <row r="29" spans="2:4" x14ac:dyDescent="0.25">
      <c r="D29" s="17"/>
    </row>
    <row r="35" spans="4:4" x14ac:dyDescent="0.25">
      <c r="D35" s="17"/>
    </row>
    <row r="36" spans="4:4" x14ac:dyDescent="0.25">
      <c r="D36" s="17"/>
    </row>
    <row r="37" spans="4:4" x14ac:dyDescent="0.25">
      <c r="D37" s="17"/>
    </row>
    <row r="38" spans="4:4" x14ac:dyDescent="0.25">
      <c r="D38" s="17"/>
    </row>
    <row r="39" spans="4:4" x14ac:dyDescent="0.25">
      <c r="D39" s="17"/>
    </row>
    <row r="40" spans="4:4" x14ac:dyDescent="0.25">
      <c r="D40" s="17"/>
    </row>
    <row r="41" spans="4:4" x14ac:dyDescent="0.25">
      <c r="D41" s="17"/>
    </row>
    <row r="43" spans="4:4" x14ac:dyDescent="0.25">
      <c r="D43" s="17"/>
    </row>
    <row r="44" spans="4:4" x14ac:dyDescent="0.25">
      <c r="D44" s="17"/>
    </row>
    <row r="45" spans="4:4" x14ac:dyDescent="0.25">
      <c r="D45" s="17"/>
    </row>
    <row r="47" spans="4:4" x14ac:dyDescent="0.25">
      <c r="D47" s="17"/>
    </row>
    <row r="48" spans="4:4" x14ac:dyDescent="0.25">
      <c r="D48" s="17"/>
    </row>
    <row r="49" spans="4:4" x14ac:dyDescent="0.25">
      <c r="D49" s="17"/>
    </row>
    <row r="51" spans="4:4" x14ac:dyDescent="0.25">
      <c r="D51" s="17"/>
    </row>
    <row r="52" spans="4:4" x14ac:dyDescent="0.25">
      <c r="D52" s="17"/>
    </row>
    <row r="53" spans="4:4" x14ac:dyDescent="0.25">
      <c r="D53" s="17"/>
    </row>
    <row r="55" spans="4:4" x14ac:dyDescent="0.25">
      <c r="D55" s="17"/>
    </row>
    <row r="56" spans="4:4" x14ac:dyDescent="0.25">
      <c r="D56" s="17"/>
    </row>
    <row r="91" spans="2:2" x14ac:dyDescent="0.25">
      <c r="B91" t="s">
        <v>1315</v>
      </c>
    </row>
    <row r="92" spans="2:2" x14ac:dyDescent="0.25">
      <c r="B92" t="s">
        <v>1317</v>
      </c>
    </row>
    <row r="93" spans="2:2" x14ac:dyDescent="0.25">
      <c r="B93" t="s">
        <v>1318</v>
      </c>
    </row>
    <row r="94" spans="2:2" x14ac:dyDescent="0.25">
      <c r="B94" t="s">
        <v>1319</v>
      </c>
    </row>
  </sheetData>
  <mergeCells count="1">
    <mergeCell ref="D3:E3"/>
  </mergeCells>
  <dataValidations count="1">
    <dataValidation type="list" allowBlank="1" showInputMessage="1" showErrorMessage="1" sqref="D25 D17" xr:uid="{2A053625-4A06-4D5C-A74E-CD73564DD08D}">
      <formula1>Tipo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797AF-BCF9-47F3-9E02-FE027F0E9731}">
  <sheetPr codeName="Hoja3"/>
  <dimension ref="B1:I66"/>
  <sheetViews>
    <sheetView topLeftCell="A22" workbookViewId="0">
      <selection activeCell="D55" sqref="D55"/>
    </sheetView>
  </sheetViews>
  <sheetFormatPr baseColWidth="10" defaultRowHeight="15" x14ac:dyDescent="0.25"/>
  <cols>
    <col min="3" max="3" width="69.85546875" bestFit="1" customWidth="1"/>
    <col min="4" max="4" width="14.28515625" customWidth="1"/>
    <col min="6" max="7" width="15.5703125" customWidth="1"/>
  </cols>
  <sheetData>
    <row r="1" spans="2:9" x14ac:dyDescent="0.25">
      <c r="B1" s="114" t="s">
        <v>6</v>
      </c>
      <c r="C1" s="115" t="s">
        <v>1309</v>
      </c>
      <c r="D1" s="115" t="s">
        <v>1310</v>
      </c>
      <c r="E1" s="115" t="s">
        <v>1311</v>
      </c>
      <c r="F1" s="115" t="s">
        <v>1312</v>
      </c>
      <c r="G1" s="115" t="s">
        <v>1313</v>
      </c>
      <c r="H1" s="115" t="s">
        <v>1314</v>
      </c>
      <c r="I1" s="116" t="s">
        <v>1315</v>
      </c>
    </row>
    <row r="2" spans="2:9" x14ac:dyDescent="0.25">
      <c r="B2" t="s">
        <v>186</v>
      </c>
      <c r="C2" t="s">
        <v>1264</v>
      </c>
    </row>
    <row r="3" spans="2:9" x14ac:dyDescent="0.25">
      <c r="B3" t="s">
        <v>187</v>
      </c>
      <c r="C3" t="s">
        <v>160</v>
      </c>
    </row>
    <row r="4" spans="2:9" x14ac:dyDescent="0.25">
      <c r="B4" t="s">
        <v>188</v>
      </c>
      <c r="C4" t="s">
        <v>161</v>
      </c>
    </row>
    <row r="5" spans="2:9" x14ac:dyDescent="0.25">
      <c r="B5" t="s">
        <v>189</v>
      </c>
      <c r="C5" t="s">
        <v>162</v>
      </c>
    </row>
    <row r="6" spans="2:9" x14ac:dyDescent="0.25">
      <c r="B6" t="s">
        <v>190</v>
      </c>
      <c r="C6" t="s">
        <v>163</v>
      </c>
    </row>
    <row r="7" spans="2:9" x14ac:dyDescent="0.25">
      <c r="B7" t="s">
        <v>191</v>
      </c>
      <c r="C7" t="s">
        <v>164</v>
      </c>
    </row>
    <row r="8" spans="2:9" x14ac:dyDescent="0.25">
      <c r="B8" t="s">
        <v>192</v>
      </c>
      <c r="C8" t="s">
        <v>165</v>
      </c>
    </row>
    <row r="9" spans="2:9" x14ac:dyDescent="0.25">
      <c r="B9" t="s">
        <v>193</v>
      </c>
      <c r="C9" t="s">
        <v>166</v>
      </c>
    </row>
    <row r="10" spans="2:9" x14ac:dyDescent="0.25">
      <c r="B10" t="s">
        <v>194</v>
      </c>
      <c r="C10" t="s">
        <v>167</v>
      </c>
    </row>
    <row r="11" spans="2:9" x14ac:dyDescent="0.25">
      <c r="B11" t="s">
        <v>177</v>
      </c>
      <c r="C11" t="s">
        <v>1280</v>
      </c>
    </row>
    <row r="12" spans="2:9" x14ac:dyDescent="0.25">
      <c r="B12" t="s">
        <v>178</v>
      </c>
      <c r="C12" t="s">
        <v>168</v>
      </c>
    </row>
    <row r="13" spans="2:9" x14ac:dyDescent="0.25">
      <c r="B13" t="s">
        <v>179</v>
      </c>
      <c r="C13" t="s">
        <v>169</v>
      </c>
    </row>
    <row r="14" spans="2:9" x14ac:dyDescent="0.25">
      <c r="B14" t="s">
        <v>180</v>
      </c>
      <c r="C14" t="s">
        <v>1283</v>
      </c>
    </row>
    <row r="15" spans="2:9" x14ac:dyDescent="0.25">
      <c r="B15" t="s">
        <v>181</v>
      </c>
      <c r="C15" t="s">
        <v>171</v>
      </c>
    </row>
    <row r="16" spans="2:9" x14ac:dyDescent="0.25">
      <c r="B16" t="s">
        <v>182</v>
      </c>
      <c r="C16" t="s">
        <v>172</v>
      </c>
    </row>
    <row r="17" spans="2:3" x14ac:dyDescent="0.25">
      <c r="B17" t="s">
        <v>183</v>
      </c>
      <c r="C17" t="s">
        <v>173</v>
      </c>
    </row>
    <row r="18" spans="2:3" x14ac:dyDescent="0.25">
      <c r="B18" t="s">
        <v>184</v>
      </c>
      <c r="C18" t="s">
        <v>174</v>
      </c>
    </row>
    <row r="19" spans="2:3" x14ac:dyDescent="0.25">
      <c r="B19" t="s">
        <v>185</v>
      </c>
      <c r="C19" t="s">
        <v>175</v>
      </c>
    </row>
    <row r="20" spans="2:3" x14ac:dyDescent="0.25">
      <c r="B20" t="s">
        <v>1324</v>
      </c>
      <c r="C20" t="s">
        <v>199</v>
      </c>
    </row>
    <row r="21" spans="2:3" x14ac:dyDescent="0.25">
      <c r="B21" t="s">
        <v>1326</v>
      </c>
      <c r="C21" t="s">
        <v>1236</v>
      </c>
    </row>
    <row r="22" spans="2:3" x14ac:dyDescent="0.25">
      <c r="B22" t="s">
        <v>1333</v>
      </c>
      <c r="C22" t="s">
        <v>196</v>
      </c>
    </row>
    <row r="23" spans="2:3" x14ac:dyDescent="0.25">
      <c r="B23" t="s">
        <v>1334</v>
      </c>
      <c r="C23" t="s">
        <v>1256</v>
      </c>
    </row>
    <row r="24" spans="2:3" x14ac:dyDescent="0.25">
      <c r="B24" t="s">
        <v>1335</v>
      </c>
      <c r="C24" t="s">
        <v>197</v>
      </c>
    </row>
    <row r="25" spans="2:3" x14ac:dyDescent="0.25">
      <c r="B25" t="s">
        <v>1336</v>
      </c>
      <c r="C25" t="s">
        <v>1237</v>
      </c>
    </row>
    <row r="26" spans="2:3" x14ac:dyDescent="0.25">
      <c r="B26" t="s">
        <v>1337</v>
      </c>
      <c r="C26" t="s">
        <v>198</v>
      </c>
    </row>
    <row r="27" spans="2:3" x14ac:dyDescent="0.25">
      <c r="B27" t="s">
        <v>1338</v>
      </c>
      <c r="C27" t="s">
        <v>200</v>
      </c>
    </row>
    <row r="28" spans="2:3" x14ac:dyDescent="0.25">
      <c r="B28" t="s">
        <v>1339</v>
      </c>
      <c r="C28" t="s">
        <v>1282</v>
      </c>
    </row>
    <row r="29" spans="2:3" x14ac:dyDescent="0.25">
      <c r="B29" t="s">
        <v>1340</v>
      </c>
      <c r="C29" t="s">
        <v>202</v>
      </c>
    </row>
    <row r="30" spans="2:3" x14ac:dyDescent="0.25">
      <c r="B30" t="s">
        <v>1341</v>
      </c>
      <c r="C30" t="s">
        <v>203</v>
      </c>
    </row>
    <row r="31" spans="2:3" x14ac:dyDescent="0.25">
      <c r="B31" t="s">
        <v>1342</v>
      </c>
      <c r="C31" t="s">
        <v>204</v>
      </c>
    </row>
    <row r="32" spans="2:3" x14ac:dyDescent="0.25">
      <c r="B32" t="s">
        <v>1343</v>
      </c>
      <c r="C32" t="s">
        <v>1274</v>
      </c>
    </row>
    <row r="33" spans="2:3" x14ac:dyDescent="0.25">
      <c r="B33" t="s">
        <v>1344</v>
      </c>
      <c r="C33" t="s">
        <v>1275</v>
      </c>
    </row>
    <row r="34" spans="2:3" x14ac:dyDescent="0.25">
      <c r="B34" t="s">
        <v>1345</v>
      </c>
      <c r="C34" t="s">
        <v>1276</v>
      </c>
    </row>
    <row r="35" spans="2:3" x14ac:dyDescent="0.25">
      <c r="B35" t="s">
        <v>1346</v>
      </c>
      <c r="C35" t="s">
        <v>1265</v>
      </c>
    </row>
    <row r="36" spans="2:3" x14ac:dyDescent="0.25">
      <c r="B36" t="s">
        <v>1347</v>
      </c>
      <c r="C36" t="s">
        <v>1277</v>
      </c>
    </row>
    <row r="37" spans="2:3" x14ac:dyDescent="0.25">
      <c r="B37" t="s">
        <v>1348</v>
      </c>
      <c r="C37" t="s">
        <v>1278</v>
      </c>
    </row>
    <row r="38" spans="2:3" x14ac:dyDescent="0.25">
      <c r="B38" t="s">
        <v>1349</v>
      </c>
      <c r="C38" t="s">
        <v>1279</v>
      </c>
    </row>
    <row r="39" spans="2:3" x14ac:dyDescent="0.25">
      <c r="B39" t="s">
        <v>1350</v>
      </c>
      <c r="C39" t="s">
        <v>1281</v>
      </c>
    </row>
    <row r="40" spans="2:3" x14ac:dyDescent="0.25">
      <c r="B40" t="s">
        <v>1351</v>
      </c>
      <c r="C40" t="s">
        <v>1284</v>
      </c>
    </row>
    <row r="41" spans="2:3" x14ac:dyDescent="0.25">
      <c r="B41" t="s">
        <v>1352</v>
      </c>
      <c r="C41" t="s">
        <v>1285</v>
      </c>
    </row>
    <row r="42" spans="2:3" x14ac:dyDescent="0.25">
      <c r="B42" t="s">
        <v>1353</v>
      </c>
      <c r="C42" t="s">
        <v>1286</v>
      </c>
    </row>
    <row r="43" spans="2:3" x14ac:dyDescent="0.25">
      <c r="B43" t="s">
        <v>1354</v>
      </c>
      <c r="C43" t="s">
        <v>1287</v>
      </c>
    </row>
    <row r="44" spans="2:3" x14ac:dyDescent="0.25">
      <c r="B44" t="s">
        <v>1355</v>
      </c>
      <c r="C44" t="s">
        <v>1304</v>
      </c>
    </row>
    <row r="45" spans="2:3" x14ac:dyDescent="0.25">
      <c r="B45" t="s">
        <v>1356</v>
      </c>
      <c r="C45" t="s">
        <v>1305</v>
      </c>
    </row>
    <row r="46" spans="2:3" x14ac:dyDescent="0.25">
      <c r="B46" t="s">
        <v>1357</v>
      </c>
      <c r="C46" t="s">
        <v>1306</v>
      </c>
    </row>
    <row r="47" spans="2:3" x14ac:dyDescent="0.25">
      <c r="B47" t="s">
        <v>1358</v>
      </c>
      <c r="C47" t="s">
        <v>1297</v>
      </c>
    </row>
    <row r="48" spans="2:3" x14ac:dyDescent="0.25">
      <c r="B48" t="s">
        <v>1359</v>
      </c>
      <c r="C48" t="s">
        <v>1242</v>
      </c>
    </row>
    <row r="49" spans="2:3" x14ac:dyDescent="0.25">
      <c r="B49" t="s">
        <v>1360</v>
      </c>
      <c r="C49" t="s">
        <v>1289</v>
      </c>
    </row>
    <row r="50" spans="2:3" x14ac:dyDescent="0.25">
      <c r="B50" t="s">
        <v>1361</v>
      </c>
      <c r="C50" t="s">
        <v>1269</v>
      </c>
    </row>
    <row r="51" spans="2:3" x14ac:dyDescent="0.25">
      <c r="B51" t="s">
        <v>1362</v>
      </c>
      <c r="C51" t="s">
        <v>1234</v>
      </c>
    </row>
    <row r="52" spans="2:3" x14ac:dyDescent="0.25">
      <c r="B52" t="s">
        <v>1363</v>
      </c>
      <c r="C52" t="s">
        <v>1235</v>
      </c>
    </row>
    <row r="53" spans="2:3" x14ac:dyDescent="0.25">
      <c r="B53" t="s">
        <v>1364</v>
      </c>
      <c r="C53" t="s">
        <v>1266</v>
      </c>
    </row>
    <row r="54" spans="2:3" x14ac:dyDescent="0.25">
      <c r="B54" t="s">
        <v>1365</v>
      </c>
      <c r="C54" t="s">
        <v>1267</v>
      </c>
    </row>
    <row r="55" spans="2:3" x14ac:dyDescent="0.25">
      <c r="B55" t="s">
        <v>1366</v>
      </c>
      <c r="C55" t="s">
        <v>201</v>
      </c>
    </row>
    <row r="56" spans="2:3" x14ac:dyDescent="0.25">
      <c r="B56" t="s">
        <v>1367</v>
      </c>
      <c r="C56" t="s">
        <v>1271</v>
      </c>
    </row>
    <row r="57" spans="2:3" x14ac:dyDescent="0.25">
      <c r="B57" t="s">
        <v>1368</v>
      </c>
      <c r="C57" t="s">
        <v>1294</v>
      </c>
    </row>
    <row r="58" spans="2:3" x14ac:dyDescent="0.25">
      <c r="B58" t="s">
        <v>1370</v>
      </c>
      <c r="C58" t="s">
        <v>1290</v>
      </c>
    </row>
    <row r="59" spans="2:3" x14ac:dyDescent="0.25">
      <c r="B59" t="s">
        <v>1371</v>
      </c>
      <c r="C59" t="s">
        <v>1291</v>
      </c>
    </row>
    <row r="60" spans="2:3" x14ac:dyDescent="0.25">
      <c r="B60" t="s">
        <v>1372</v>
      </c>
      <c r="C60" t="s">
        <v>1292</v>
      </c>
    </row>
    <row r="61" spans="2:3" x14ac:dyDescent="0.25">
      <c r="B61" t="s">
        <v>1373</v>
      </c>
      <c r="C61" t="s">
        <v>1298</v>
      </c>
    </row>
    <row r="62" spans="2:3" x14ac:dyDescent="0.25">
      <c r="B62" t="s">
        <v>1374</v>
      </c>
      <c r="C62" t="s">
        <v>1296</v>
      </c>
    </row>
    <row r="63" spans="2:3" x14ac:dyDescent="0.25">
      <c r="B63" t="s">
        <v>1375</v>
      </c>
      <c r="C63" t="s">
        <v>1299</v>
      </c>
    </row>
    <row r="64" spans="2:3" x14ac:dyDescent="0.25">
      <c r="B64" t="s">
        <v>1376</v>
      </c>
      <c r="C64" t="s">
        <v>1293</v>
      </c>
    </row>
    <row r="65" spans="2:3" x14ac:dyDescent="0.25">
      <c r="B65" t="s">
        <v>1377</v>
      </c>
      <c r="C65" t="s">
        <v>1295</v>
      </c>
    </row>
    <row r="66" spans="2:3" x14ac:dyDescent="0.25">
      <c r="B66" t="s">
        <v>1378</v>
      </c>
      <c r="C66" t="s">
        <v>1300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E6EC7-21B8-43A8-91BE-AFD0FAE649C9}">
  <sheetPr codeName="Hoja4"/>
  <dimension ref="B2:AA197"/>
  <sheetViews>
    <sheetView tabSelected="1" topLeftCell="F89" zoomScale="85" zoomScaleNormal="85" workbookViewId="0">
      <selection activeCell="K61" sqref="K61"/>
    </sheetView>
  </sheetViews>
  <sheetFormatPr baseColWidth="10" defaultRowHeight="15" x14ac:dyDescent="0.25"/>
  <cols>
    <col min="1" max="1" width="2.85546875" customWidth="1"/>
    <col min="2" max="2" width="29.85546875" customWidth="1"/>
    <col min="3" max="3" width="28" customWidth="1"/>
    <col min="4" max="4" width="65.5703125" customWidth="1"/>
    <col min="5" max="5" width="59.85546875" customWidth="1"/>
    <col min="6" max="6" width="5.140625" customWidth="1"/>
    <col min="7" max="7" width="29.85546875" style="117" customWidth="1"/>
    <col min="8" max="8" width="17.7109375" style="117" customWidth="1"/>
    <col min="9" max="9" width="93.7109375" bestFit="1" customWidth="1"/>
    <col min="10" max="10" width="21.28515625" style="117" bestFit="1" customWidth="1"/>
    <col min="11" max="11" width="26.5703125" customWidth="1"/>
    <col min="12" max="12" width="14.85546875" customWidth="1"/>
    <col min="13" max="13" width="24.7109375" customWidth="1"/>
    <col min="14" max="14" width="16.140625" customWidth="1"/>
    <col min="15" max="15" width="18.7109375" customWidth="1"/>
    <col min="16" max="16" width="17.7109375" customWidth="1"/>
    <col min="17" max="18" width="16.140625" customWidth="1"/>
    <col min="19" max="20" width="18.28515625" customWidth="1"/>
    <col min="21" max="21" width="38.7109375" bestFit="1" customWidth="1"/>
    <col min="22" max="22" width="16.5703125" customWidth="1"/>
    <col min="23" max="23" width="17.85546875" customWidth="1"/>
    <col min="24" max="24" width="20.5703125" customWidth="1"/>
    <col min="25" max="25" width="19.42578125" customWidth="1"/>
  </cols>
  <sheetData>
    <row r="2" spans="2:27" ht="15.75" thickBot="1" x14ac:dyDescent="0.3"/>
    <row r="3" spans="2:27" ht="46.5" x14ac:dyDescent="0.25">
      <c r="B3" s="172" t="s">
        <v>132</v>
      </c>
      <c r="C3" s="173"/>
      <c r="D3" s="174"/>
      <c r="E3" s="20"/>
      <c r="G3" s="156" t="s">
        <v>133</v>
      </c>
      <c r="H3" s="157"/>
      <c r="I3" s="157"/>
      <c r="J3" s="157"/>
      <c r="K3" s="157"/>
      <c r="L3" s="158"/>
      <c r="M3" s="175" t="s">
        <v>144</v>
      </c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7"/>
    </row>
    <row r="4" spans="2:27" ht="57.6" customHeight="1" x14ac:dyDescent="0.25">
      <c r="B4" s="18" t="s">
        <v>13</v>
      </c>
      <c r="C4" s="19" t="s">
        <v>134</v>
      </c>
      <c r="D4" s="19" t="s">
        <v>131</v>
      </c>
      <c r="E4" s="21" t="s">
        <v>207</v>
      </c>
      <c r="G4" s="11" t="s">
        <v>13</v>
      </c>
      <c r="H4" s="11" t="s">
        <v>134</v>
      </c>
      <c r="I4" s="12" t="s">
        <v>131</v>
      </c>
      <c r="J4" s="159" t="s">
        <v>1391</v>
      </c>
      <c r="K4" s="159" t="s">
        <v>1521</v>
      </c>
      <c r="L4" s="10" t="s">
        <v>139</v>
      </c>
      <c r="M4" s="10" t="s">
        <v>140</v>
      </c>
      <c r="N4" s="10" t="s">
        <v>141</v>
      </c>
      <c r="O4" s="10" t="s">
        <v>135</v>
      </c>
      <c r="P4" s="10" t="s">
        <v>136</v>
      </c>
      <c r="Q4" s="10" t="s">
        <v>137</v>
      </c>
      <c r="R4" s="15" t="s">
        <v>138</v>
      </c>
      <c r="S4" s="10" t="s">
        <v>145</v>
      </c>
      <c r="T4" s="10" t="s">
        <v>1273</v>
      </c>
      <c r="U4" s="10" t="s">
        <v>146</v>
      </c>
      <c r="V4" s="10" t="s">
        <v>1307</v>
      </c>
      <c r="W4" s="10" t="s">
        <v>156</v>
      </c>
      <c r="X4" s="10" t="s">
        <v>147</v>
      </c>
      <c r="Y4" s="10" t="s">
        <v>148</v>
      </c>
      <c r="Z4" s="10" t="s">
        <v>149</v>
      </c>
      <c r="AA4" s="15" t="s">
        <v>150</v>
      </c>
    </row>
    <row r="5" spans="2:27" x14ac:dyDescent="0.25">
      <c r="B5" t="s">
        <v>176</v>
      </c>
      <c r="C5" t="str">
        <f>IFERROR(INDEX(Tabla10[ID],MATCH(PROP[[#This Row],[NOMBRE DEL PROPONENTE]],Tabla10[Alias],0)),"")</f>
        <v>PROP_01</v>
      </c>
      <c r="D5" t="s">
        <v>1264</v>
      </c>
      <c r="E5" t="s">
        <v>186</v>
      </c>
      <c r="G5" s="117" t="s">
        <v>176</v>
      </c>
      <c r="H5" s="117" t="str">
        <f>IFERROR(INDEX(Tabla10[ID],MATCH(EVAL_ECO[[#This Row],[NOMBRE DEL PROPONENTE]],Tabla10[Alias],0)),"")</f>
        <v>PROP_11</v>
      </c>
      <c r="I5" t="s">
        <v>168</v>
      </c>
      <c r="J5" t="s">
        <v>1114</v>
      </c>
      <c r="K5" t="s">
        <v>1114</v>
      </c>
      <c r="N5" t="s">
        <v>1225</v>
      </c>
      <c r="O5" s="22">
        <v>12193505</v>
      </c>
      <c r="P5" s="5" t="s">
        <v>317</v>
      </c>
      <c r="Q5" s="5" t="s">
        <v>317</v>
      </c>
      <c r="R5" s="5" t="s">
        <v>317</v>
      </c>
      <c r="S5" s="5" t="s">
        <v>317</v>
      </c>
      <c r="T5" s="5" t="s">
        <v>317</v>
      </c>
      <c r="U5" s="5" t="s">
        <v>317</v>
      </c>
      <c r="V5" s="5" t="s">
        <v>317</v>
      </c>
      <c r="W5" s="17" t="s">
        <v>1223</v>
      </c>
      <c r="X5" s="22">
        <v>12193505</v>
      </c>
      <c r="Y5" s="5" t="s">
        <v>317</v>
      </c>
      <c r="Z5" s="5" t="s">
        <v>317</v>
      </c>
      <c r="AA5" s="5" t="s">
        <v>317</v>
      </c>
    </row>
    <row r="6" spans="2:27" x14ac:dyDescent="0.25">
      <c r="B6" t="s">
        <v>176</v>
      </c>
      <c r="C6" t="str">
        <f>IFERROR(INDEX(Tabla10[ID],MATCH(PROP[[#This Row],[NOMBRE DEL PROPONENTE]],Tabla10[Alias],0)),"")</f>
        <v>PROP_02</v>
      </c>
      <c r="D6" t="s">
        <v>160</v>
      </c>
      <c r="E6" t="s">
        <v>187</v>
      </c>
      <c r="G6" s="117" t="s">
        <v>176</v>
      </c>
      <c r="H6" s="117" t="str">
        <f>IFERROR(INDEX(Tabla10[ID],MATCH(EVAL_ECO[[#This Row],[NOMBRE DEL PROPONENTE]],Tabla10[Alias],0)),"")</f>
        <v>PROP_01</v>
      </c>
      <c r="I6" t="s">
        <v>1264</v>
      </c>
      <c r="J6" t="s">
        <v>1115</v>
      </c>
      <c r="K6" t="s">
        <v>1115</v>
      </c>
      <c r="N6" t="s">
        <v>1225</v>
      </c>
      <c r="O6" s="22">
        <v>6715734.9299999997</v>
      </c>
      <c r="P6" s="5" t="s">
        <v>317</v>
      </c>
      <c r="Q6" s="5" t="s">
        <v>317</v>
      </c>
      <c r="R6" s="5" t="s">
        <v>317</v>
      </c>
      <c r="S6" s="5" t="s">
        <v>317</v>
      </c>
      <c r="T6" s="5" t="s">
        <v>317</v>
      </c>
      <c r="U6" s="5" t="s">
        <v>317</v>
      </c>
      <c r="V6" s="5" t="s">
        <v>317</v>
      </c>
      <c r="W6" s="17" t="s">
        <v>1228</v>
      </c>
      <c r="Y6" s="5" t="s">
        <v>317</v>
      </c>
      <c r="Z6" s="5" t="s">
        <v>317</v>
      </c>
      <c r="AA6" s="5" t="s">
        <v>317</v>
      </c>
    </row>
    <row r="7" spans="2:27" x14ac:dyDescent="0.25">
      <c r="B7" t="s">
        <v>176</v>
      </c>
      <c r="C7" t="str">
        <f>IFERROR(INDEX(Tabla10[ID],MATCH(PROP[[#This Row],[NOMBRE DEL PROPONENTE]],Tabla10[Alias],0)),"")</f>
        <v>PROP_03</v>
      </c>
      <c r="D7" t="s">
        <v>161</v>
      </c>
      <c r="E7" t="s">
        <v>188</v>
      </c>
      <c r="G7" s="117" t="s">
        <v>176</v>
      </c>
      <c r="H7" s="117" t="str">
        <f>IFERROR(INDEX(Tabla10[ID],MATCH(EVAL_ECO[[#This Row],[NOMBRE DEL PROPONENTE]],Tabla10[Alias],0)),"")</f>
        <v>PROP_10</v>
      </c>
      <c r="I7" s="123" t="s">
        <v>1280</v>
      </c>
      <c r="J7" t="s">
        <v>1117</v>
      </c>
      <c r="K7" t="s">
        <v>1117</v>
      </c>
      <c r="N7" t="s">
        <v>1225</v>
      </c>
      <c r="O7" s="22">
        <v>5955309</v>
      </c>
      <c r="P7" s="5" t="s">
        <v>317</v>
      </c>
      <c r="Q7" s="5" t="s">
        <v>317</v>
      </c>
      <c r="R7" s="5" t="s">
        <v>317</v>
      </c>
      <c r="S7" s="5" t="s">
        <v>317</v>
      </c>
      <c r="T7" s="5" t="s">
        <v>317</v>
      </c>
      <c r="U7" s="5" t="s">
        <v>317</v>
      </c>
      <c r="V7" s="5" t="s">
        <v>317</v>
      </c>
      <c r="W7" s="17" t="s">
        <v>1223</v>
      </c>
      <c r="X7" s="22">
        <v>5955309</v>
      </c>
      <c r="Y7" s="5" t="s">
        <v>317</v>
      </c>
      <c r="Z7" s="5" t="s">
        <v>317</v>
      </c>
      <c r="AA7" s="5" t="s">
        <v>317</v>
      </c>
    </row>
    <row r="8" spans="2:27" x14ac:dyDescent="0.25">
      <c r="B8" t="s">
        <v>176</v>
      </c>
      <c r="C8" t="str">
        <f>IFERROR(INDEX(Tabla10[ID],MATCH(PROP[[#This Row],[NOMBRE DEL PROPONENTE]],Tabla10[Alias],0)),"")</f>
        <v>PROP_04</v>
      </c>
      <c r="D8" t="s">
        <v>162</v>
      </c>
      <c r="E8" t="s">
        <v>189</v>
      </c>
      <c r="G8" s="117" t="s">
        <v>176</v>
      </c>
      <c r="H8" s="117" t="str">
        <f>IFERROR(INDEX(Tabla10[ID],MATCH(EVAL_ECO[[#This Row],[NOMBRE DEL PROPONENTE]],Tabla10[Alias],0)),"")</f>
        <v>PROP_11</v>
      </c>
      <c r="I8" t="s">
        <v>168</v>
      </c>
      <c r="J8" t="s">
        <v>1119</v>
      </c>
      <c r="K8" t="s">
        <v>1119</v>
      </c>
      <c r="N8" t="s">
        <v>1225</v>
      </c>
      <c r="O8" s="22">
        <v>31984571</v>
      </c>
      <c r="P8" s="5" t="s">
        <v>317</v>
      </c>
      <c r="Q8" s="5" t="s">
        <v>317</v>
      </c>
      <c r="R8" s="5" t="s">
        <v>317</v>
      </c>
      <c r="S8" s="5" t="s">
        <v>317</v>
      </c>
      <c r="T8" s="5" t="s">
        <v>317</v>
      </c>
      <c r="U8" s="5" t="s">
        <v>317</v>
      </c>
      <c r="V8" s="5" t="s">
        <v>317</v>
      </c>
      <c r="W8" s="17" t="s">
        <v>1223</v>
      </c>
      <c r="X8" s="22">
        <v>31984571</v>
      </c>
      <c r="Y8" s="5" t="s">
        <v>317</v>
      </c>
      <c r="Z8" s="5" t="s">
        <v>317</v>
      </c>
      <c r="AA8" s="5" t="s">
        <v>317</v>
      </c>
    </row>
    <row r="9" spans="2:27" x14ac:dyDescent="0.25">
      <c r="B9" t="s">
        <v>176</v>
      </c>
      <c r="C9" t="str">
        <f>IFERROR(INDEX(Tabla10[ID],MATCH(PROP[[#This Row],[NOMBRE DEL PROPONENTE]],Tabla10[Alias],0)),"")</f>
        <v>PROP_05</v>
      </c>
      <c r="D9" t="s">
        <v>163</v>
      </c>
      <c r="E9" t="s">
        <v>190</v>
      </c>
      <c r="G9" s="117" t="s">
        <v>176</v>
      </c>
      <c r="H9" s="117" t="str">
        <f>IFERROR(INDEX(Tabla10[ID],MATCH(EVAL_ECO[[#This Row],[NOMBRE DEL PROPONENTE]],Tabla10[Alias],0)),"")</f>
        <v>PROP_01</v>
      </c>
      <c r="I9" t="s">
        <v>1264</v>
      </c>
      <c r="J9" t="s">
        <v>1120</v>
      </c>
      <c r="K9" t="s">
        <v>1120</v>
      </c>
      <c r="N9" t="s">
        <v>1225</v>
      </c>
      <c r="O9" s="22">
        <v>6782754.6799999997</v>
      </c>
      <c r="P9" s="5" t="s">
        <v>317</v>
      </c>
      <c r="Q9" s="5" t="s">
        <v>317</v>
      </c>
      <c r="R9" s="5" t="s">
        <v>317</v>
      </c>
      <c r="S9" s="5" t="s">
        <v>317</v>
      </c>
      <c r="T9" s="5" t="s">
        <v>317</v>
      </c>
      <c r="U9" s="5" t="s">
        <v>317</v>
      </c>
      <c r="V9" s="5" t="s">
        <v>317</v>
      </c>
      <c r="W9" s="17" t="s">
        <v>1228</v>
      </c>
      <c r="Y9" s="5" t="s">
        <v>317</v>
      </c>
      <c r="Z9" s="5" t="s">
        <v>317</v>
      </c>
      <c r="AA9" s="5" t="s">
        <v>317</v>
      </c>
    </row>
    <row r="10" spans="2:27" x14ac:dyDescent="0.25">
      <c r="B10" t="s">
        <v>176</v>
      </c>
      <c r="C10" t="str">
        <f>IFERROR(INDEX(Tabla10[ID],MATCH(PROP[[#This Row],[NOMBRE DEL PROPONENTE]],Tabla10[Alias],0)),"")</f>
        <v>PROP_06</v>
      </c>
      <c r="D10" t="s">
        <v>164</v>
      </c>
      <c r="E10" t="s">
        <v>191</v>
      </c>
      <c r="G10" s="117" t="s">
        <v>176</v>
      </c>
      <c r="H10" s="117" t="str">
        <f>IFERROR(INDEX(Tabla10[ID],MATCH(EVAL_ECO[[#This Row],[NOMBRE DEL PROPONENTE]],Tabla10[Alias],0)),"")</f>
        <v>PROP_15</v>
      </c>
      <c r="I10" t="s">
        <v>172</v>
      </c>
      <c r="J10" t="s">
        <v>1122</v>
      </c>
      <c r="K10" t="s">
        <v>1122</v>
      </c>
      <c r="N10" t="s">
        <v>1225</v>
      </c>
      <c r="O10" s="22">
        <v>15416886</v>
      </c>
      <c r="P10" s="5" t="s">
        <v>317</v>
      </c>
      <c r="Q10" s="5" t="s">
        <v>317</v>
      </c>
      <c r="R10" s="5" t="s">
        <v>317</v>
      </c>
      <c r="S10" s="5" t="s">
        <v>317</v>
      </c>
      <c r="T10" s="5" t="s">
        <v>317</v>
      </c>
      <c r="U10" s="5" t="s">
        <v>317</v>
      </c>
      <c r="V10" s="5" t="s">
        <v>317</v>
      </c>
      <c r="W10" s="17" t="s">
        <v>1229</v>
      </c>
      <c r="Y10" s="5" t="s">
        <v>317</v>
      </c>
      <c r="Z10" s="5" t="s">
        <v>317</v>
      </c>
      <c r="AA10" s="5" t="s">
        <v>317</v>
      </c>
    </row>
    <row r="11" spans="2:27" x14ac:dyDescent="0.25">
      <c r="B11" t="s">
        <v>176</v>
      </c>
      <c r="C11" t="str">
        <f>IFERROR(INDEX(Tabla10[ID],MATCH(PROP[[#This Row],[NOMBRE DEL PROPONENTE]],Tabla10[Alias],0)),"")</f>
        <v>PROP_07</v>
      </c>
      <c r="D11" t="s">
        <v>165</v>
      </c>
      <c r="E11" t="s">
        <v>192</v>
      </c>
      <c r="G11" s="117" t="s">
        <v>176</v>
      </c>
      <c r="H11" s="117" t="str">
        <f>IFERROR(INDEX(Tabla10[ID],MATCH(EVAL_ECO[[#This Row],[NOMBRE DEL PROPONENTE]],Tabla10[Alias],0)),"")</f>
        <v>PROP_10</v>
      </c>
      <c r="I11" t="s">
        <v>1280</v>
      </c>
      <c r="J11" t="s">
        <v>1123</v>
      </c>
      <c r="K11" t="s">
        <v>1123</v>
      </c>
      <c r="N11" t="s">
        <v>1225</v>
      </c>
      <c r="O11" s="22">
        <v>18368417</v>
      </c>
      <c r="P11" s="5" t="s">
        <v>317</v>
      </c>
      <c r="Q11" s="5" t="s">
        <v>317</v>
      </c>
      <c r="R11" s="5" t="s">
        <v>317</v>
      </c>
      <c r="S11" s="5" t="s">
        <v>317</v>
      </c>
      <c r="T11" s="5" t="s">
        <v>317</v>
      </c>
      <c r="U11" s="5" t="s">
        <v>317</v>
      </c>
      <c r="V11" s="5" t="s">
        <v>317</v>
      </c>
      <c r="W11" s="17" t="s">
        <v>1223</v>
      </c>
      <c r="X11" s="22">
        <v>18368417</v>
      </c>
      <c r="Y11" s="5" t="s">
        <v>317</v>
      </c>
      <c r="Z11" s="5" t="s">
        <v>317</v>
      </c>
      <c r="AA11" s="5" t="s">
        <v>317</v>
      </c>
    </row>
    <row r="12" spans="2:27" x14ac:dyDescent="0.25">
      <c r="B12" t="s">
        <v>176</v>
      </c>
      <c r="C12" t="str">
        <f>IFERROR(INDEX(Tabla10[ID],MATCH(PROP[[#This Row],[NOMBRE DEL PROPONENTE]],Tabla10[Alias],0)),"")</f>
        <v>PROP_08</v>
      </c>
      <c r="D12" t="s">
        <v>166</v>
      </c>
      <c r="E12" t="s">
        <v>193</v>
      </c>
      <c r="G12" s="117" t="s">
        <v>176</v>
      </c>
      <c r="H12" s="117" t="str">
        <f>IFERROR(INDEX(Tabla10[ID],MATCH(EVAL_ECO[[#This Row],[NOMBRE DEL PROPONENTE]],Tabla10[Alias],0)),"")</f>
        <v>PROP_15</v>
      </c>
      <c r="I12" t="s">
        <v>172</v>
      </c>
      <c r="J12" t="s">
        <v>1124</v>
      </c>
      <c r="K12" t="s">
        <v>1124</v>
      </c>
      <c r="N12" t="s">
        <v>1225</v>
      </c>
      <c r="O12" s="22">
        <v>11989864</v>
      </c>
      <c r="P12" s="5" t="s">
        <v>317</v>
      </c>
      <c r="Q12" s="5" t="s">
        <v>317</v>
      </c>
      <c r="R12" s="5" t="s">
        <v>317</v>
      </c>
      <c r="S12" s="5" t="s">
        <v>317</v>
      </c>
      <c r="T12" s="5" t="s">
        <v>317</v>
      </c>
      <c r="U12" s="5" t="s">
        <v>317</v>
      </c>
      <c r="V12" s="5" t="s">
        <v>317</v>
      </c>
      <c r="W12" s="17" t="s">
        <v>1223</v>
      </c>
      <c r="X12" s="22">
        <v>11989864</v>
      </c>
      <c r="Y12" s="5" t="s">
        <v>317</v>
      </c>
      <c r="Z12" s="5" t="s">
        <v>317</v>
      </c>
      <c r="AA12" s="5" t="s">
        <v>317</v>
      </c>
    </row>
    <row r="13" spans="2:27" x14ac:dyDescent="0.25">
      <c r="B13" t="s">
        <v>176</v>
      </c>
      <c r="C13" t="str">
        <f>IFERROR(INDEX(Tabla10[ID],MATCH(PROP[[#This Row],[NOMBRE DEL PROPONENTE]],Tabla10[Alias],0)),"")</f>
        <v>PROP_09</v>
      </c>
      <c r="D13" t="s">
        <v>167</v>
      </c>
      <c r="E13" t="s">
        <v>194</v>
      </c>
      <c r="G13" s="117" t="s">
        <v>176</v>
      </c>
      <c r="H13" s="117" t="str">
        <f>IFERROR(INDEX(Tabla10[ID],MATCH(EVAL_ECO[[#This Row],[NOMBRE DEL PROPONENTE]],Tabla10[Alias],0)),"")</f>
        <v>PROP_01</v>
      </c>
      <c r="I13" t="s">
        <v>1264</v>
      </c>
      <c r="J13" t="s">
        <v>1125</v>
      </c>
      <c r="K13" t="s">
        <v>1125</v>
      </c>
      <c r="N13" t="s">
        <v>1225</v>
      </c>
      <c r="O13" s="22">
        <v>7541833.6100000003</v>
      </c>
      <c r="P13" s="5" t="s">
        <v>317</v>
      </c>
      <c r="Q13" s="5" t="s">
        <v>317</v>
      </c>
      <c r="R13" s="5" t="s">
        <v>317</v>
      </c>
      <c r="S13" s="5" t="s">
        <v>317</v>
      </c>
      <c r="T13" s="5" t="s">
        <v>317</v>
      </c>
      <c r="U13" s="5" t="s">
        <v>317</v>
      </c>
      <c r="V13" s="5" t="s">
        <v>317</v>
      </c>
      <c r="W13" s="17" t="s">
        <v>1223</v>
      </c>
      <c r="X13" s="22">
        <v>7541833.6100000003</v>
      </c>
      <c r="Y13" s="5" t="s">
        <v>317</v>
      </c>
      <c r="Z13" s="5" t="s">
        <v>317</v>
      </c>
      <c r="AA13" s="5" t="s">
        <v>317</v>
      </c>
    </row>
    <row r="14" spans="2:27" x14ac:dyDescent="0.25">
      <c r="B14" t="s">
        <v>176</v>
      </c>
      <c r="C14" t="str">
        <f>IFERROR(INDEX(Tabla10[ID],MATCH(PROP[[#This Row],[NOMBRE DEL PROPONENTE]],Tabla10[Alias],0)),"")</f>
        <v>PROP_10</v>
      </c>
      <c r="D14" t="s">
        <v>1280</v>
      </c>
      <c r="E14" t="s">
        <v>177</v>
      </c>
      <c r="G14" s="117" t="s">
        <v>176</v>
      </c>
      <c r="H14" s="117" t="str">
        <f>IFERROR(INDEX(Tabla10[ID],MATCH(EVAL_ECO[[#This Row],[NOMBRE DEL PROPONENTE]],Tabla10[Alias],0)),"")</f>
        <v>PROP_07</v>
      </c>
      <c r="I14" t="s">
        <v>165</v>
      </c>
      <c r="J14" t="s">
        <v>1125</v>
      </c>
      <c r="K14" t="s">
        <v>1125</v>
      </c>
      <c r="N14" t="s">
        <v>1225</v>
      </c>
      <c r="O14" s="22">
        <v>7474659.5999999996</v>
      </c>
      <c r="P14" s="5" t="s">
        <v>317</v>
      </c>
      <c r="Q14" s="5" t="s">
        <v>317</v>
      </c>
      <c r="R14" s="5" t="s">
        <v>317</v>
      </c>
      <c r="S14" s="5" t="s">
        <v>317</v>
      </c>
      <c r="T14" s="5" t="s">
        <v>317</v>
      </c>
      <c r="U14" s="5" t="s">
        <v>317</v>
      </c>
      <c r="V14" s="5" t="s">
        <v>317</v>
      </c>
      <c r="W14" s="17" t="s">
        <v>1228</v>
      </c>
      <c r="Y14" s="5" t="s">
        <v>317</v>
      </c>
      <c r="Z14" s="5" t="s">
        <v>317</v>
      </c>
      <c r="AA14" s="5" t="s">
        <v>317</v>
      </c>
    </row>
    <row r="15" spans="2:27" x14ac:dyDescent="0.25">
      <c r="B15" t="s">
        <v>176</v>
      </c>
      <c r="C15" t="str">
        <f>IFERROR(INDEX(Tabla10[ID],MATCH(PROP[[#This Row],[NOMBRE DEL PROPONENTE]],Tabla10[Alias],0)),"")</f>
        <v>PROP_11</v>
      </c>
      <c r="D15" t="s">
        <v>168</v>
      </c>
      <c r="E15" t="s">
        <v>178</v>
      </c>
      <c r="G15" s="117" t="s">
        <v>176</v>
      </c>
      <c r="H15" s="117" t="str">
        <f>IFERROR(INDEX(Tabla10[ID],MATCH(EVAL_ECO[[#This Row],[NOMBRE DEL PROPONENTE]],Tabla10[Alias],0)),"")</f>
        <v>PROP_17</v>
      </c>
      <c r="I15" t="s">
        <v>174</v>
      </c>
      <c r="J15" t="s">
        <v>1126</v>
      </c>
      <c r="K15" t="s">
        <v>1126</v>
      </c>
      <c r="N15" t="s">
        <v>1225</v>
      </c>
      <c r="O15" s="22">
        <v>4353031.0199999996</v>
      </c>
      <c r="P15" s="5" t="s">
        <v>317</v>
      </c>
      <c r="Q15" s="5" t="s">
        <v>317</v>
      </c>
      <c r="R15" s="5" t="s">
        <v>317</v>
      </c>
      <c r="S15" s="5" t="s">
        <v>317</v>
      </c>
      <c r="T15" s="5" t="s">
        <v>317</v>
      </c>
      <c r="U15" s="5" t="s">
        <v>317</v>
      </c>
      <c r="V15" s="5" t="s">
        <v>317</v>
      </c>
      <c r="W15" s="17" t="s">
        <v>1228</v>
      </c>
      <c r="Y15" s="5" t="s">
        <v>317</v>
      </c>
      <c r="Z15" s="5" t="s">
        <v>317</v>
      </c>
      <c r="AA15" s="5" t="s">
        <v>317</v>
      </c>
    </row>
    <row r="16" spans="2:27" x14ac:dyDescent="0.25">
      <c r="B16" t="s">
        <v>176</v>
      </c>
      <c r="C16" t="str">
        <f>IFERROR(INDEX(Tabla10[ID],MATCH(PROP[[#This Row],[NOMBRE DEL PROPONENTE]],Tabla10[Alias],0)),"")</f>
        <v>PROP_12</v>
      </c>
      <c r="D16" t="s">
        <v>169</v>
      </c>
      <c r="E16" t="s">
        <v>179</v>
      </c>
      <c r="G16" s="117" t="s">
        <v>176</v>
      </c>
      <c r="H16" s="117" t="str">
        <f>IFERROR(INDEX(Tabla10[ID],MATCH(EVAL_ECO[[#This Row],[NOMBRE DEL PROPONENTE]],Tabla10[Alias],0)),"")</f>
        <v>PROP_13</v>
      </c>
      <c r="I16" s="117" t="s">
        <v>1283</v>
      </c>
      <c r="J16" s="117" t="s">
        <v>1128</v>
      </c>
      <c r="K16" t="s">
        <v>1128</v>
      </c>
      <c r="N16" t="s">
        <v>1225</v>
      </c>
      <c r="O16" s="22">
        <v>4310179</v>
      </c>
      <c r="P16" s="5" t="s">
        <v>317</v>
      </c>
      <c r="Q16" s="5" t="s">
        <v>317</v>
      </c>
      <c r="R16" s="5" t="s">
        <v>317</v>
      </c>
      <c r="S16" s="5" t="s">
        <v>317</v>
      </c>
      <c r="T16" s="5" t="s">
        <v>317</v>
      </c>
      <c r="U16" s="5" t="s">
        <v>317</v>
      </c>
      <c r="V16" s="5" t="s">
        <v>317</v>
      </c>
      <c r="W16" s="17" t="s">
        <v>1228</v>
      </c>
      <c r="Y16" s="5" t="s">
        <v>317</v>
      </c>
      <c r="Z16" s="5" t="s">
        <v>317</v>
      </c>
      <c r="AA16" s="5" t="s">
        <v>317</v>
      </c>
    </row>
    <row r="17" spans="2:27" x14ac:dyDescent="0.25">
      <c r="B17" t="s">
        <v>176</v>
      </c>
      <c r="C17" t="str">
        <f>IFERROR(INDEX(Tabla10[ID],MATCH(PROP[[#This Row],[NOMBRE DEL PROPONENTE]],Tabla10[Alias],0)),"")</f>
        <v>PROP_13</v>
      </c>
      <c r="D17" t="s">
        <v>1283</v>
      </c>
      <c r="E17" t="s">
        <v>180</v>
      </c>
      <c r="G17" s="117" t="s">
        <v>176</v>
      </c>
      <c r="H17" s="117" t="str">
        <f>IFERROR(INDEX(Tabla10[ID],MATCH(EVAL_ECO[[#This Row],[NOMBRE DEL PROPONENTE]],Tabla10[Alias],0)),"")</f>
        <v>PROP_10</v>
      </c>
      <c r="I17" t="s">
        <v>1280</v>
      </c>
      <c r="J17" t="s">
        <v>1133</v>
      </c>
      <c r="K17" t="s">
        <v>1133</v>
      </c>
      <c r="N17" t="s">
        <v>1225</v>
      </c>
      <c r="O17" s="22">
        <v>10343667</v>
      </c>
      <c r="P17" s="5" t="s">
        <v>317</v>
      </c>
      <c r="Q17" s="5" t="s">
        <v>317</v>
      </c>
      <c r="R17" s="5" t="s">
        <v>317</v>
      </c>
      <c r="S17" s="5" t="s">
        <v>317</v>
      </c>
      <c r="T17" s="5" t="s">
        <v>317</v>
      </c>
      <c r="U17" s="5" t="s">
        <v>317</v>
      </c>
      <c r="V17" s="5" t="s">
        <v>317</v>
      </c>
      <c r="W17" s="17" t="s">
        <v>1228</v>
      </c>
      <c r="Y17" s="5" t="s">
        <v>317</v>
      </c>
      <c r="Z17" s="5" t="s">
        <v>317</v>
      </c>
      <c r="AA17" s="5" t="s">
        <v>317</v>
      </c>
    </row>
    <row r="18" spans="2:27" x14ac:dyDescent="0.25">
      <c r="B18" t="s">
        <v>176</v>
      </c>
      <c r="C18" t="str">
        <f>IFERROR(INDEX(Tabla10[ID],MATCH(PROP[[#This Row],[NOMBRE DEL PROPONENTE]],Tabla10[Alias],0)),"")</f>
        <v>PROP_14</v>
      </c>
      <c r="D18" t="s">
        <v>171</v>
      </c>
      <c r="E18" t="s">
        <v>181</v>
      </c>
      <c r="G18" s="117" t="s">
        <v>176</v>
      </c>
      <c r="H18" s="117" t="str">
        <f>IFERROR(INDEX(Tabla10[ID],MATCH(EVAL_ECO[[#This Row],[NOMBRE DEL PROPONENTE]],Tabla10[Alias],0)),"")</f>
        <v>PROP_17</v>
      </c>
      <c r="I18" t="s">
        <v>174</v>
      </c>
      <c r="J18" t="s">
        <v>1136</v>
      </c>
      <c r="K18" t="s">
        <v>1136</v>
      </c>
      <c r="N18" t="s">
        <v>1225</v>
      </c>
      <c r="O18" s="22">
        <v>2094987.7</v>
      </c>
      <c r="P18" s="5" t="s">
        <v>317</v>
      </c>
      <c r="Q18" s="5" t="s">
        <v>317</v>
      </c>
      <c r="R18" s="5" t="s">
        <v>317</v>
      </c>
      <c r="S18" s="5" t="s">
        <v>317</v>
      </c>
      <c r="T18" s="5" t="s">
        <v>317</v>
      </c>
      <c r="U18" s="5" t="s">
        <v>317</v>
      </c>
      <c r="V18" s="5" t="s">
        <v>317</v>
      </c>
      <c r="W18" s="17" t="s">
        <v>1228</v>
      </c>
      <c r="Y18" s="5" t="s">
        <v>317</v>
      </c>
      <c r="Z18" s="5" t="s">
        <v>317</v>
      </c>
      <c r="AA18" s="5" t="s">
        <v>317</v>
      </c>
    </row>
    <row r="19" spans="2:27" s="123" customFormat="1" x14ac:dyDescent="0.25">
      <c r="B19" s="123" t="s">
        <v>176</v>
      </c>
      <c r="C19" s="123" t="str">
        <f>IFERROR(INDEX(Tabla10[ID],MATCH(PROP[[#This Row],[NOMBRE DEL PROPONENTE]],Tabla10[Alias],0)),"")</f>
        <v>PROP_15</v>
      </c>
      <c r="D19" s="123" t="s">
        <v>172</v>
      </c>
      <c r="E19" s="123" t="s">
        <v>182</v>
      </c>
      <c r="G19" s="117" t="s">
        <v>176</v>
      </c>
      <c r="H19" s="117" t="str">
        <f>IFERROR(INDEX(Tabla10[ID],MATCH(EVAL_ECO[[#This Row],[NOMBRE DEL PROPONENTE]],Tabla10[Alias],0)),"")</f>
        <v>PROP_17</v>
      </c>
      <c r="I19" t="s">
        <v>174</v>
      </c>
      <c r="J19" t="s">
        <v>1143</v>
      </c>
      <c r="K19" t="s">
        <v>1143</v>
      </c>
      <c r="L19"/>
      <c r="M19"/>
      <c r="N19" t="s">
        <v>1225</v>
      </c>
      <c r="O19" s="22">
        <v>6518509.5999999996</v>
      </c>
      <c r="P19" s="5" t="s">
        <v>317</v>
      </c>
      <c r="Q19" s="5" t="s">
        <v>317</v>
      </c>
      <c r="R19" s="5" t="s">
        <v>317</v>
      </c>
      <c r="S19" s="5" t="s">
        <v>317</v>
      </c>
      <c r="T19" s="5" t="s">
        <v>317</v>
      </c>
      <c r="U19" s="5" t="s">
        <v>317</v>
      </c>
      <c r="V19" s="5" t="s">
        <v>317</v>
      </c>
      <c r="W19" s="17" t="s">
        <v>1228</v>
      </c>
      <c r="X19"/>
      <c r="Y19" s="5" t="s">
        <v>317</v>
      </c>
      <c r="Z19" s="5" t="s">
        <v>317</v>
      </c>
      <c r="AA19" s="5" t="s">
        <v>317</v>
      </c>
    </row>
    <row r="20" spans="2:27" x14ac:dyDescent="0.25">
      <c r="B20" t="s">
        <v>176</v>
      </c>
      <c r="C20" t="str">
        <f>IFERROR(INDEX(Tabla10[ID],MATCH(PROP[[#This Row],[NOMBRE DEL PROPONENTE]],Tabla10[Alias],0)),"")</f>
        <v>PROP_16</v>
      </c>
      <c r="D20" t="s">
        <v>173</v>
      </c>
      <c r="E20" t="s">
        <v>183</v>
      </c>
      <c r="G20" s="117" t="s">
        <v>176</v>
      </c>
      <c r="H20" s="117" t="str">
        <f>IFERROR(INDEX(Tabla10[ID],MATCH(EVAL_ECO[[#This Row],[NOMBRE DEL PROPONENTE]],Tabla10[Alias],0)),"")</f>
        <v>PROP_17</v>
      </c>
      <c r="I20" t="s">
        <v>174</v>
      </c>
      <c r="J20" t="s">
        <v>105</v>
      </c>
      <c r="K20" t="s">
        <v>1522</v>
      </c>
      <c r="N20" t="s">
        <v>1225</v>
      </c>
      <c r="O20" s="22">
        <v>11153598.289999999</v>
      </c>
      <c r="P20" s="5" t="s">
        <v>317</v>
      </c>
      <c r="Q20" s="5" t="s">
        <v>317</v>
      </c>
      <c r="R20" s="5" t="s">
        <v>317</v>
      </c>
      <c r="S20" s="5" t="s">
        <v>317</v>
      </c>
      <c r="T20" s="5" t="s">
        <v>317</v>
      </c>
      <c r="U20" s="5" t="s">
        <v>317</v>
      </c>
      <c r="V20" s="5" t="s">
        <v>317</v>
      </c>
      <c r="W20" s="17" t="s">
        <v>1228</v>
      </c>
      <c r="Y20" s="5" t="s">
        <v>317</v>
      </c>
      <c r="Z20" s="5" t="s">
        <v>317</v>
      </c>
      <c r="AA20" s="5" t="s">
        <v>317</v>
      </c>
    </row>
    <row r="21" spans="2:27" x14ac:dyDescent="0.25">
      <c r="B21" t="s">
        <v>176</v>
      </c>
      <c r="C21" t="str">
        <f>IFERROR(INDEX(Tabla10[ID],MATCH(PROP[[#This Row],[NOMBRE DEL PROPONENTE]],Tabla10[Alias],0)),"")</f>
        <v>PROP_17</v>
      </c>
      <c r="D21" t="s">
        <v>174</v>
      </c>
      <c r="E21" t="s">
        <v>184</v>
      </c>
      <c r="G21" s="117" t="s">
        <v>176</v>
      </c>
      <c r="H21" s="117" t="str">
        <f>IFERROR(INDEX(Tabla10[ID],MATCH(EVAL_ECO[[#This Row],[NOMBRE DEL PROPONENTE]],Tabla10[Alias],0)),"")</f>
        <v>PROP_01</v>
      </c>
      <c r="I21" t="s">
        <v>1264</v>
      </c>
      <c r="J21" t="s">
        <v>105</v>
      </c>
      <c r="K21" t="s">
        <v>1522</v>
      </c>
      <c r="N21" t="s">
        <v>1225</v>
      </c>
      <c r="O21" s="22">
        <v>5789986.1699999999</v>
      </c>
      <c r="P21" s="5" t="s">
        <v>317</v>
      </c>
      <c r="Q21" s="5" t="s">
        <v>317</v>
      </c>
      <c r="R21" s="5" t="s">
        <v>317</v>
      </c>
      <c r="S21" s="5" t="s">
        <v>317</v>
      </c>
      <c r="T21" s="5" t="s">
        <v>317</v>
      </c>
      <c r="U21" s="5" t="s">
        <v>317</v>
      </c>
      <c r="V21" s="5" t="s">
        <v>317</v>
      </c>
      <c r="W21" s="17" t="s">
        <v>1223</v>
      </c>
      <c r="X21" s="22">
        <v>5789986.1699999999</v>
      </c>
      <c r="Y21" s="5" t="s">
        <v>317</v>
      </c>
      <c r="Z21" s="5" t="s">
        <v>317</v>
      </c>
      <c r="AA21" s="5" t="s">
        <v>317</v>
      </c>
    </row>
    <row r="22" spans="2:27" x14ac:dyDescent="0.25">
      <c r="B22" t="s">
        <v>176</v>
      </c>
      <c r="C22" t="str">
        <f>IFERROR(INDEX(Tabla10[ID],MATCH(PROP[[#This Row],[NOMBRE DEL PROPONENTE]],Tabla10[Alias],0)),"")</f>
        <v>PROP_18</v>
      </c>
      <c r="D22" t="s">
        <v>175</v>
      </c>
      <c r="E22" t="s">
        <v>185</v>
      </c>
      <c r="G22" s="117" t="s">
        <v>176</v>
      </c>
      <c r="H22" s="117" t="str">
        <f>IFERROR(INDEX(Tabla10[ID],MATCH(EVAL_ECO[[#This Row],[NOMBRE DEL PROPONENTE]],Tabla10[Alias],0)),"")</f>
        <v>PROP_10</v>
      </c>
      <c r="I22" t="s">
        <v>1280</v>
      </c>
      <c r="J22" t="s">
        <v>106</v>
      </c>
      <c r="K22" t="s">
        <v>1523</v>
      </c>
      <c r="N22" t="s">
        <v>1225</v>
      </c>
      <c r="O22" s="22">
        <v>15655373</v>
      </c>
      <c r="P22" s="5" t="s">
        <v>317</v>
      </c>
      <c r="Q22" s="5" t="s">
        <v>317</v>
      </c>
      <c r="R22" s="5" t="s">
        <v>317</v>
      </c>
      <c r="S22" s="5" t="s">
        <v>317</v>
      </c>
      <c r="T22" s="5" t="s">
        <v>317</v>
      </c>
      <c r="U22" s="5" t="s">
        <v>317</v>
      </c>
      <c r="V22" s="5" t="s">
        <v>317</v>
      </c>
      <c r="W22" s="17" t="s">
        <v>1223</v>
      </c>
      <c r="X22" s="22">
        <v>15655373</v>
      </c>
      <c r="Y22" s="5" t="s">
        <v>317</v>
      </c>
      <c r="Z22" s="5" t="s">
        <v>317</v>
      </c>
      <c r="AA22" s="5" t="s">
        <v>317</v>
      </c>
    </row>
    <row r="23" spans="2:27" x14ac:dyDescent="0.25">
      <c r="C23" t="str">
        <f>IFERROR(INDEX(Tabla10[ID],MATCH(PROP[[#This Row],[NOMBRE DEL PROPONENTE]],Tabla10[Alias],0)),"")</f>
        <v/>
      </c>
      <c r="G23" s="117" t="s">
        <v>176</v>
      </c>
      <c r="H23" s="117" t="str">
        <f>IFERROR(INDEX(Tabla10[ID],MATCH(EVAL_ECO[[#This Row],[NOMBRE DEL PROPONENTE]],Tabla10[Alias],0)),"")</f>
        <v>PROP_08</v>
      </c>
      <c r="I23" s="123" t="s">
        <v>166</v>
      </c>
      <c r="J23" t="s">
        <v>107</v>
      </c>
      <c r="K23" t="s">
        <v>1524</v>
      </c>
      <c r="N23" t="s">
        <v>1225</v>
      </c>
      <c r="O23" s="22">
        <v>15841165</v>
      </c>
      <c r="P23" s="5" t="s">
        <v>317</v>
      </c>
      <c r="Q23" s="5" t="s">
        <v>317</v>
      </c>
      <c r="R23" s="5" t="s">
        <v>317</v>
      </c>
      <c r="S23" s="5" t="s">
        <v>317</v>
      </c>
      <c r="T23" s="5" t="s">
        <v>317</v>
      </c>
      <c r="U23" s="5" t="s">
        <v>317</v>
      </c>
      <c r="V23" s="5" t="s">
        <v>317</v>
      </c>
      <c r="W23" s="17" t="s">
        <v>1228</v>
      </c>
      <c r="Y23" s="5" t="s">
        <v>317</v>
      </c>
      <c r="Z23" s="5" t="s">
        <v>317</v>
      </c>
      <c r="AA23" s="5" t="s">
        <v>317</v>
      </c>
    </row>
    <row r="24" spans="2:27" x14ac:dyDescent="0.25">
      <c r="B24" t="s">
        <v>1232</v>
      </c>
      <c r="C24" t="str">
        <f>IFERROR(INDEX(Tabla10[ID],MATCH(PROP[[#This Row],[NOMBRE DEL PROPONENTE]],Tabla10[Alias],0)),"")</f>
        <v>PROP_22</v>
      </c>
      <c r="D24" t="s">
        <v>1233</v>
      </c>
      <c r="G24" s="117" t="s">
        <v>176</v>
      </c>
      <c r="H24" s="117" t="str">
        <f>IFERROR(INDEX(Tabla10[ID],MATCH(EVAL_ECO[[#This Row],[NOMBRE DEL PROPONENTE]],Tabla10[Alias],0)),"")</f>
        <v>PROP_13</v>
      </c>
      <c r="I24" t="s">
        <v>1283</v>
      </c>
      <c r="J24" t="s">
        <v>107</v>
      </c>
      <c r="K24" t="s">
        <v>1524</v>
      </c>
      <c r="N24" t="s">
        <v>1225</v>
      </c>
      <c r="O24" s="22">
        <v>4174692</v>
      </c>
      <c r="P24" s="5" t="s">
        <v>317</v>
      </c>
      <c r="Q24" s="5" t="s">
        <v>317</v>
      </c>
      <c r="R24" s="5" t="s">
        <v>317</v>
      </c>
      <c r="S24" s="5" t="s">
        <v>317</v>
      </c>
      <c r="T24" s="5" t="s">
        <v>317</v>
      </c>
      <c r="U24" s="5" t="s">
        <v>317</v>
      </c>
      <c r="V24" s="5" t="s">
        <v>317</v>
      </c>
      <c r="W24" s="17" t="s">
        <v>1223</v>
      </c>
      <c r="X24" s="22">
        <v>4174692</v>
      </c>
      <c r="Y24" s="5" t="s">
        <v>317</v>
      </c>
      <c r="Z24" s="5" t="s">
        <v>317</v>
      </c>
      <c r="AA24" s="5" t="s">
        <v>317</v>
      </c>
    </row>
    <row r="25" spans="2:27" x14ac:dyDescent="0.25">
      <c r="B25" t="s">
        <v>1232</v>
      </c>
      <c r="C25" t="str">
        <f>IFERROR(INDEX(Tabla10[ID],MATCH(PROP[[#This Row],[NOMBRE DEL PROPONENTE]],Tabla10[Alias],0)),"")</f>
        <v>PROP_01</v>
      </c>
      <c r="D25" t="s">
        <v>1264</v>
      </c>
      <c r="G25" s="117" t="s">
        <v>176</v>
      </c>
      <c r="H25" s="117" t="str">
        <f>IFERROR(INDEX(Tabla10[ID],MATCH(EVAL_ECO[[#This Row],[NOMBRE DEL PROPONENTE]],Tabla10[Alias],0)),"")</f>
        <v>PROP_17</v>
      </c>
      <c r="I25" t="s">
        <v>174</v>
      </c>
      <c r="J25" t="s">
        <v>110</v>
      </c>
      <c r="K25" t="s">
        <v>1525</v>
      </c>
      <c r="N25" t="s">
        <v>1225</v>
      </c>
      <c r="O25" s="22">
        <v>2220023.86</v>
      </c>
      <c r="P25" s="5" t="s">
        <v>317</v>
      </c>
      <c r="Q25" s="5" t="s">
        <v>317</v>
      </c>
      <c r="R25" s="5" t="s">
        <v>317</v>
      </c>
      <c r="S25" s="5" t="s">
        <v>317</v>
      </c>
      <c r="T25" s="5" t="s">
        <v>317</v>
      </c>
      <c r="U25" s="5" t="s">
        <v>317</v>
      </c>
      <c r="V25" s="5" t="s">
        <v>317</v>
      </c>
      <c r="W25" s="17" t="s">
        <v>1228</v>
      </c>
      <c r="Y25" s="5" t="s">
        <v>317</v>
      </c>
      <c r="Z25" s="5" t="s">
        <v>317</v>
      </c>
      <c r="AA25" s="5" t="s">
        <v>317</v>
      </c>
    </row>
    <row r="26" spans="2:27" x14ac:dyDescent="0.25">
      <c r="B26" t="s">
        <v>1232</v>
      </c>
      <c r="C26" t="str">
        <f>IFERROR(INDEX(Tabla10[ID],MATCH(PROP[[#This Row],[NOMBRE DEL PROPONENTE]],Tabla10[Alias],0)),"")</f>
        <v>PROP_02</v>
      </c>
      <c r="D26" t="s">
        <v>160</v>
      </c>
      <c r="G26" s="117" t="s">
        <v>176</v>
      </c>
      <c r="H26" s="117" t="str">
        <f>IFERROR(INDEX(Tabla10[ID],MATCH(EVAL_ECO[[#This Row],[NOMBRE DEL PROPONENTE]],Tabla10[Alias],0)),"")</f>
        <v>PROP_18</v>
      </c>
      <c r="I26" t="s">
        <v>195</v>
      </c>
      <c r="J26" t="s">
        <v>111</v>
      </c>
      <c r="K26" t="s">
        <v>1526</v>
      </c>
      <c r="N26" t="s">
        <v>1225</v>
      </c>
      <c r="O26" s="22">
        <v>4470489</v>
      </c>
      <c r="P26" s="5" t="s">
        <v>317</v>
      </c>
      <c r="Q26" s="5" t="s">
        <v>317</v>
      </c>
      <c r="R26" s="5" t="s">
        <v>317</v>
      </c>
      <c r="S26" s="5" t="s">
        <v>317</v>
      </c>
      <c r="T26" s="5" t="s">
        <v>317</v>
      </c>
      <c r="U26" s="5" t="s">
        <v>317</v>
      </c>
      <c r="V26" s="5" t="s">
        <v>317</v>
      </c>
      <c r="W26" s="17" t="s">
        <v>1228</v>
      </c>
      <c r="Y26" s="5" t="s">
        <v>317</v>
      </c>
      <c r="Z26" s="5" t="s">
        <v>317</v>
      </c>
      <c r="AA26" s="5" t="s">
        <v>317</v>
      </c>
    </row>
    <row r="27" spans="2:27" x14ac:dyDescent="0.25">
      <c r="B27" t="s">
        <v>1232</v>
      </c>
      <c r="C27" t="str">
        <f>IFERROR(INDEX(Tabla10[ID],MATCH(PROP[[#This Row],[NOMBRE DEL PROPONENTE]],Tabla10[Alias],0)),"")</f>
        <v>PROP_51</v>
      </c>
      <c r="D27" t="s">
        <v>1234</v>
      </c>
      <c r="G27" s="123" t="s">
        <v>176</v>
      </c>
      <c r="H27" s="123" t="str">
        <f>IFERROR(INDEX(Tabla10[ID],MATCH(EVAL_ECO[[#This Row],[NOMBRE DEL PROPONENTE]],Tabla10[Alias],0)),"")</f>
        <v>PROP_11</v>
      </c>
      <c r="I27" s="123" t="s">
        <v>168</v>
      </c>
      <c r="J27" t="s">
        <v>112</v>
      </c>
      <c r="K27" t="s">
        <v>1527</v>
      </c>
      <c r="L27" s="123"/>
      <c r="M27" s="123"/>
      <c r="N27" s="123" t="s">
        <v>1225</v>
      </c>
      <c r="O27" s="133">
        <v>12158021</v>
      </c>
      <c r="P27" s="127" t="s">
        <v>317</v>
      </c>
      <c r="Q27" s="127" t="s">
        <v>317</v>
      </c>
      <c r="R27" s="127" t="s">
        <v>317</v>
      </c>
      <c r="S27" s="127" t="s">
        <v>317</v>
      </c>
      <c r="T27" s="127" t="s">
        <v>317</v>
      </c>
      <c r="U27" s="127" t="s">
        <v>317</v>
      </c>
      <c r="V27" s="127" t="s">
        <v>317</v>
      </c>
      <c r="W27" s="134" t="s">
        <v>1223</v>
      </c>
      <c r="X27" s="133">
        <v>12158021</v>
      </c>
      <c r="Y27" s="127" t="s">
        <v>317</v>
      </c>
      <c r="Z27" s="127" t="s">
        <v>317</v>
      </c>
      <c r="AA27" s="127" t="s">
        <v>317</v>
      </c>
    </row>
    <row r="28" spans="2:27" x14ac:dyDescent="0.25">
      <c r="B28" t="s">
        <v>1232</v>
      </c>
      <c r="C28" t="str">
        <f>IFERROR(INDEX(Tabla10[ID],MATCH(PROP[[#This Row],[NOMBRE DEL PROPONENTE]],Tabla10[Alias],0)),"")</f>
        <v>PROP_52</v>
      </c>
      <c r="D28" t="s">
        <v>1235</v>
      </c>
      <c r="G28" s="117" t="s">
        <v>176</v>
      </c>
      <c r="H28" s="117" t="str">
        <f>IFERROR(INDEX(Tabla10[ID],MATCH(EVAL_ECO[[#This Row],[NOMBRE DEL PROPONENTE]],Tabla10[Alias],0)),"")</f>
        <v>PROP_11</v>
      </c>
      <c r="I28" t="s">
        <v>168</v>
      </c>
      <c r="J28" t="s">
        <v>113</v>
      </c>
      <c r="K28" t="s">
        <v>1528</v>
      </c>
      <c r="N28" t="s">
        <v>1225</v>
      </c>
      <c r="O28" s="22">
        <v>34240637</v>
      </c>
      <c r="P28" s="5" t="s">
        <v>317</v>
      </c>
      <c r="Q28" s="5" t="s">
        <v>317</v>
      </c>
      <c r="R28" s="5" t="s">
        <v>317</v>
      </c>
      <c r="S28" s="5" t="s">
        <v>317</v>
      </c>
      <c r="T28" s="5" t="s">
        <v>317</v>
      </c>
      <c r="U28" s="5" t="s">
        <v>317</v>
      </c>
      <c r="V28" s="5" t="s">
        <v>317</v>
      </c>
      <c r="W28" s="17" t="s">
        <v>1228</v>
      </c>
      <c r="Y28" s="5" t="s">
        <v>317</v>
      </c>
      <c r="Z28" s="5" t="s">
        <v>317</v>
      </c>
      <c r="AA28" s="5" t="s">
        <v>317</v>
      </c>
    </row>
    <row r="29" spans="2:27" x14ac:dyDescent="0.25">
      <c r="B29" t="s">
        <v>1232</v>
      </c>
      <c r="C29" t="str">
        <f>IFERROR(INDEX(Tabla10[ID],MATCH(PROP[[#This Row],[NOMBRE DEL PROPONENTE]],Tabla10[Alias],0)),"")</f>
        <v>PROP_06</v>
      </c>
      <c r="D29" t="s">
        <v>164</v>
      </c>
      <c r="G29" s="117" t="s">
        <v>176</v>
      </c>
      <c r="H29" s="117" t="str">
        <f>IFERROR(INDEX(Tabla10[ID],MATCH(EVAL_ECO[[#This Row],[NOMBRE DEL PROPONENTE]],Tabla10[Alias],0)),"")</f>
        <v>PROP_01</v>
      </c>
      <c r="I29" t="s">
        <v>1264</v>
      </c>
      <c r="J29" t="s">
        <v>114</v>
      </c>
      <c r="K29" t="s">
        <v>1529</v>
      </c>
      <c r="N29" t="s">
        <v>1225</v>
      </c>
      <c r="O29" s="22">
        <v>5434008.3799999999</v>
      </c>
      <c r="P29" s="5" t="s">
        <v>317</v>
      </c>
      <c r="Q29" s="5" t="s">
        <v>317</v>
      </c>
      <c r="R29" s="5" t="s">
        <v>317</v>
      </c>
      <c r="S29" s="5" t="s">
        <v>317</v>
      </c>
      <c r="T29" s="5" t="s">
        <v>317</v>
      </c>
      <c r="U29" s="5" t="s">
        <v>317</v>
      </c>
      <c r="V29" s="5" t="s">
        <v>317</v>
      </c>
      <c r="W29" s="17" t="s">
        <v>1228</v>
      </c>
      <c r="Y29" s="5" t="s">
        <v>317</v>
      </c>
      <c r="Z29" s="5" t="s">
        <v>317</v>
      </c>
      <c r="AA29" s="5" t="s">
        <v>317</v>
      </c>
    </row>
    <row r="30" spans="2:27" x14ac:dyDescent="0.25">
      <c r="B30" t="s">
        <v>1232</v>
      </c>
      <c r="C30" t="str">
        <f>IFERROR(INDEX(Tabla10[ID],MATCH(PROP[[#This Row],[NOMBRE DEL PROPONENTE]],Tabla10[Alias],0)),"")</f>
        <v>PROP_21</v>
      </c>
      <c r="D30" t="s">
        <v>1236</v>
      </c>
      <c r="G30" s="117" t="s">
        <v>176</v>
      </c>
      <c r="H30" s="117" t="str">
        <f>IFERROR(INDEX(Tabla10[ID],MATCH(EVAL_ECO[[#This Row],[NOMBRE DEL PROPONENTE]],Tabla10[Alias],0)),"")</f>
        <v>PROP_17</v>
      </c>
      <c r="I30" t="s">
        <v>174</v>
      </c>
      <c r="J30" t="s">
        <v>115</v>
      </c>
      <c r="K30" t="s">
        <v>1530</v>
      </c>
      <c r="N30" t="s">
        <v>1225</v>
      </c>
      <c r="O30" s="22">
        <v>25287546.449999999</v>
      </c>
      <c r="P30" s="5" t="s">
        <v>317</v>
      </c>
      <c r="Q30" s="5" t="s">
        <v>317</v>
      </c>
      <c r="R30" s="5" t="s">
        <v>317</v>
      </c>
      <c r="S30" s="5" t="s">
        <v>317</v>
      </c>
      <c r="T30" s="5" t="s">
        <v>317</v>
      </c>
      <c r="U30" s="5" t="s">
        <v>317</v>
      </c>
      <c r="V30" s="5" t="s">
        <v>317</v>
      </c>
      <c r="W30" s="17" t="s">
        <v>1223</v>
      </c>
      <c r="X30" s="22">
        <v>25287546.449999999</v>
      </c>
      <c r="Y30" s="5" t="s">
        <v>317</v>
      </c>
      <c r="Z30" s="5" t="s">
        <v>317</v>
      </c>
      <c r="AA30" s="5" t="s">
        <v>317</v>
      </c>
    </row>
    <row r="31" spans="2:27" x14ac:dyDescent="0.25">
      <c r="B31" t="s">
        <v>1232</v>
      </c>
      <c r="C31" t="str">
        <f>IFERROR(INDEX(Tabla10[ID],MATCH(PROP[[#This Row],[NOMBRE DEL PROPONENTE]],Tabla10[Alias],0)),"")</f>
        <v>PROP_25</v>
      </c>
      <c r="D31" t="s">
        <v>1237</v>
      </c>
      <c r="G31" s="117" t="s">
        <v>176</v>
      </c>
      <c r="H31" s="117" t="str">
        <f>IFERROR(INDEX(Tabla10[ID],MATCH(EVAL_ECO[[#This Row],[NOMBRE DEL PROPONENTE]],Tabla10[Alias],0)),"")</f>
        <v>PROP_10</v>
      </c>
      <c r="I31" t="s">
        <v>1280</v>
      </c>
      <c r="J31" t="s">
        <v>117</v>
      </c>
      <c r="K31" t="s">
        <v>1531</v>
      </c>
      <c r="N31" t="s">
        <v>1225</v>
      </c>
      <c r="O31" s="22">
        <v>6103918</v>
      </c>
      <c r="P31" s="5" t="s">
        <v>317</v>
      </c>
      <c r="Q31" s="5" t="s">
        <v>317</v>
      </c>
      <c r="R31" s="5" t="s">
        <v>317</v>
      </c>
      <c r="S31" s="5" t="s">
        <v>317</v>
      </c>
      <c r="T31" s="5" t="s">
        <v>317</v>
      </c>
      <c r="U31" s="5" t="s">
        <v>317</v>
      </c>
      <c r="V31" s="5" t="s">
        <v>317</v>
      </c>
      <c r="W31" s="17" t="s">
        <v>1223</v>
      </c>
      <c r="X31" s="22">
        <v>6103918</v>
      </c>
      <c r="Y31" s="5" t="s">
        <v>317</v>
      </c>
      <c r="Z31" s="5" t="s">
        <v>317</v>
      </c>
      <c r="AA31" s="5" t="s">
        <v>317</v>
      </c>
    </row>
    <row r="32" spans="2:27" x14ac:dyDescent="0.25">
      <c r="B32" t="s">
        <v>1232</v>
      </c>
      <c r="C32" t="str">
        <f>IFERROR(INDEX(Tabla10[ID],MATCH(PROP[[#This Row],[NOMBRE DEL PROPONENTE]],Tabla10[Alias],0)),"")</f>
        <v>PROP_31</v>
      </c>
      <c r="D32" t="s">
        <v>1238</v>
      </c>
      <c r="G32" s="117" t="s">
        <v>176</v>
      </c>
      <c r="H32" s="117" t="str">
        <f>IFERROR(INDEX(Tabla10[ID],MATCH(EVAL_ECO[[#This Row],[NOMBRE DEL PROPONENTE]],Tabla10[Alias],0)),"")</f>
        <v>PROP_17</v>
      </c>
      <c r="I32" t="s">
        <v>174</v>
      </c>
      <c r="J32" t="s">
        <v>117</v>
      </c>
      <c r="K32" t="s">
        <v>1531</v>
      </c>
      <c r="N32" t="s">
        <v>1225</v>
      </c>
      <c r="O32" s="22">
        <v>13973878.779999999</v>
      </c>
      <c r="P32" s="5" t="s">
        <v>317</v>
      </c>
      <c r="Q32" s="5" t="s">
        <v>317</v>
      </c>
      <c r="R32" s="5" t="s">
        <v>317</v>
      </c>
      <c r="S32" s="5" t="s">
        <v>317</v>
      </c>
      <c r="T32" s="5" t="s">
        <v>317</v>
      </c>
      <c r="U32" s="5" t="s">
        <v>317</v>
      </c>
      <c r="V32" s="5" t="s">
        <v>317</v>
      </c>
      <c r="W32" s="17" t="s">
        <v>1223</v>
      </c>
      <c r="X32" s="22">
        <v>13973878.779999999</v>
      </c>
      <c r="Y32" s="5" t="s">
        <v>317</v>
      </c>
      <c r="Z32" s="5" t="s">
        <v>317</v>
      </c>
      <c r="AA32" s="5" t="s">
        <v>317</v>
      </c>
    </row>
    <row r="33" spans="2:27" x14ac:dyDescent="0.25">
      <c r="B33" t="s">
        <v>1232</v>
      </c>
      <c r="C33" t="str">
        <f>IFERROR(INDEX(Tabla10[ID],MATCH(PROP[[#This Row],[NOMBRE DEL PROPONENTE]],Tabla10[Alias],0)),"")</f>
        <v>PROP_30</v>
      </c>
      <c r="D33" t="s">
        <v>1239</v>
      </c>
      <c r="G33" s="117" t="s">
        <v>176</v>
      </c>
      <c r="H33" s="117" t="str">
        <f>IFERROR(INDEX(Tabla10[ID],MATCH(EVAL_ECO[[#This Row],[NOMBRE DEL PROPONENTE]],Tabla10[Alias],0)),"")</f>
        <v>PROP_13</v>
      </c>
      <c r="I33" s="117" t="s">
        <v>1283</v>
      </c>
      <c r="J33" s="117" t="s">
        <v>118</v>
      </c>
      <c r="K33" t="s">
        <v>1532</v>
      </c>
      <c r="N33" t="s">
        <v>1225</v>
      </c>
      <c r="O33" s="22">
        <v>4366189</v>
      </c>
      <c r="P33" s="5" t="s">
        <v>317</v>
      </c>
      <c r="Q33" s="5" t="s">
        <v>317</v>
      </c>
      <c r="R33" s="5" t="s">
        <v>317</v>
      </c>
      <c r="S33" s="5" t="s">
        <v>317</v>
      </c>
      <c r="T33" s="5" t="s">
        <v>317</v>
      </c>
      <c r="U33" s="5" t="s">
        <v>317</v>
      </c>
      <c r="V33" s="5" t="s">
        <v>317</v>
      </c>
      <c r="W33" s="17" t="s">
        <v>1223</v>
      </c>
      <c r="X33" s="22">
        <v>4366189</v>
      </c>
      <c r="Y33" s="5" t="s">
        <v>317</v>
      </c>
      <c r="Z33" s="5" t="s">
        <v>317</v>
      </c>
      <c r="AA33" s="5" t="s">
        <v>317</v>
      </c>
    </row>
    <row r="34" spans="2:27" x14ac:dyDescent="0.25">
      <c r="B34" t="s">
        <v>1232</v>
      </c>
      <c r="C34" t="str">
        <f>IFERROR(INDEX(Tabla10[ID],MATCH(PROP[[#This Row],[NOMBRE DEL PROPONENTE]],Tabla10[Alias],0)),"")</f>
        <v>PROP_24</v>
      </c>
      <c r="D34" t="s">
        <v>201</v>
      </c>
      <c r="G34" s="117" t="s">
        <v>176</v>
      </c>
      <c r="H34" s="117" t="str">
        <f>IFERROR(INDEX(Tabla10[ID],MATCH(EVAL_ECO[[#This Row],[NOMBRE DEL PROPONENTE]],Tabla10[Alias],0)),"")</f>
        <v>PROP_01</v>
      </c>
      <c r="I34" t="s">
        <v>1264</v>
      </c>
      <c r="J34" t="s">
        <v>125</v>
      </c>
      <c r="K34" t="s">
        <v>1533</v>
      </c>
      <c r="N34" t="s">
        <v>1225</v>
      </c>
      <c r="O34" s="22">
        <v>4729641.1399999997</v>
      </c>
      <c r="P34" s="5" t="s">
        <v>317</v>
      </c>
      <c r="Q34" s="5" t="s">
        <v>317</v>
      </c>
      <c r="R34" s="5" t="s">
        <v>317</v>
      </c>
      <c r="S34" s="5" t="s">
        <v>317</v>
      </c>
      <c r="T34" s="5" t="s">
        <v>317</v>
      </c>
      <c r="U34" s="5" t="s">
        <v>317</v>
      </c>
      <c r="V34" s="5" t="s">
        <v>317</v>
      </c>
      <c r="W34" s="17" t="s">
        <v>1228</v>
      </c>
      <c r="Y34" s="5" t="s">
        <v>317</v>
      </c>
      <c r="Z34" s="5" t="s">
        <v>317</v>
      </c>
      <c r="AA34" s="5" t="s">
        <v>317</v>
      </c>
    </row>
    <row r="35" spans="2:27" x14ac:dyDescent="0.25">
      <c r="B35" t="s">
        <v>1232</v>
      </c>
      <c r="C35" t="str">
        <f>IFERROR(INDEX(Tabla10[ID],MATCH(PROP[[#This Row],[NOMBRE DEL PROPONENTE]],Tabla10[Alias],0)),"")</f>
        <v>PROP_20</v>
      </c>
      <c r="D35" t="s">
        <v>1240</v>
      </c>
      <c r="G35" s="117" t="s">
        <v>176</v>
      </c>
      <c r="H35" s="117" t="str">
        <f>IFERROR(INDEX(Tabla10[ID],MATCH(EVAL_ECO[[#This Row],[NOMBRE DEL PROPONENTE]],Tabla10[Alias],0)),"")</f>
        <v>PROP_18</v>
      </c>
      <c r="I35" t="s">
        <v>195</v>
      </c>
      <c r="J35" s="117" t="s">
        <v>119</v>
      </c>
      <c r="K35" t="s">
        <v>1534</v>
      </c>
      <c r="L35">
        <v>2</v>
      </c>
      <c r="N35" t="s">
        <v>1225</v>
      </c>
      <c r="O35" s="22">
        <v>4652195</v>
      </c>
      <c r="P35" s="5" t="s">
        <v>317</v>
      </c>
      <c r="Q35" s="5" t="s">
        <v>317</v>
      </c>
      <c r="R35" s="5" t="s">
        <v>317</v>
      </c>
      <c r="S35" s="5" t="s">
        <v>317</v>
      </c>
      <c r="T35" s="5" t="s">
        <v>317</v>
      </c>
      <c r="U35" s="5" t="s">
        <v>317</v>
      </c>
      <c r="V35" s="5" t="s">
        <v>317</v>
      </c>
      <c r="W35" s="17" t="s">
        <v>1228</v>
      </c>
      <c r="Y35" s="5" t="s">
        <v>317</v>
      </c>
      <c r="Z35" s="5" t="s">
        <v>317</v>
      </c>
      <c r="AA35" s="5" t="s">
        <v>317</v>
      </c>
    </row>
    <row r="36" spans="2:27" x14ac:dyDescent="0.25">
      <c r="B36" t="s">
        <v>1232</v>
      </c>
      <c r="C36" t="str">
        <f>IFERROR(INDEX(Tabla10[ID],MATCH(PROP[[#This Row],[NOMBRE DEL PROPONENTE]],Tabla10[Alias],0)),"")</f>
        <v>PROP_29</v>
      </c>
      <c r="D36" t="s">
        <v>1241</v>
      </c>
      <c r="G36" s="117" t="s">
        <v>176</v>
      </c>
      <c r="H36" s="117" t="str">
        <f>IFERROR(INDEX(Tabla10[ID],MATCH(EVAL_ECO[[#This Row],[NOMBRE DEL PROPONENTE]],Tabla10[Alias],0)),"")</f>
        <v>PROP_18</v>
      </c>
      <c r="I36" t="s">
        <v>195</v>
      </c>
      <c r="J36" s="117" t="s">
        <v>119</v>
      </c>
      <c r="K36" t="s">
        <v>1534</v>
      </c>
      <c r="L36">
        <v>2</v>
      </c>
      <c r="N36" t="s">
        <v>1225</v>
      </c>
      <c r="O36" s="22">
        <v>8754694</v>
      </c>
      <c r="P36" s="5" t="s">
        <v>317</v>
      </c>
      <c r="Q36" s="5" t="s">
        <v>317</v>
      </c>
      <c r="R36" s="5" t="s">
        <v>317</v>
      </c>
      <c r="S36" s="5" t="s">
        <v>317</v>
      </c>
      <c r="T36" s="5" t="s">
        <v>317</v>
      </c>
      <c r="U36" s="5" t="s">
        <v>317</v>
      </c>
      <c r="V36" s="5" t="s">
        <v>317</v>
      </c>
      <c r="W36" s="17" t="s">
        <v>1223</v>
      </c>
      <c r="X36" s="22">
        <v>8754694</v>
      </c>
      <c r="Y36" s="5" t="s">
        <v>317</v>
      </c>
      <c r="Z36" s="5" t="s">
        <v>317</v>
      </c>
      <c r="AA36" s="5" t="s">
        <v>317</v>
      </c>
    </row>
    <row r="37" spans="2:27" x14ac:dyDescent="0.25">
      <c r="B37" t="s">
        <v>1232</v>
      </c>
      <c r="C37" t="str">
        <f>IFERROR(INDEX(Tabla10[ID],MATCH(PROP[[#This Row],[NOMBRE DEL PROPONENTE]],Tabla10[Alias],0)),"")</f>
        <v>PROP_15</v>
      </c>
      <c r="D37" t="s">
        <v>172</v>
      </c>
      <c r="G37" s="117" t="s">
        <v>176</v>
      </c>
      <c r="H37" s="117" t="str">
        <f>IFERROR(INDEX(Tabla10[ID],MATCH(EVAL_ECO[[#This Row],[NOMBRE DEL PROPONENTE]],Tabla10[Alias],0)),"")</f>
        <v>PROP_08</v>
      </c>
      <c r="I37" t="s">
        <v>166</v>
      </c>
      <c r="J37" t="s">
        <v>120</v>
      </c>
      <c r="K37" t="s">
        <v>1535</v>
      </c>
      <c r="N37" t="s">
        <v>1225</v>
      </c>
      <c r="O37" s="22">
        <v>14178771</v>
      </c>
      <c r="P37" s="5" t="s">
        <v>317</v>
      </c>
      <c r="Q37" s="5" t="s">
        <v>317</v>
      </c>
      <c r="R37" s="5" t="s">
        <v>317</v>
      </c>
      <c r="S37" s="5" t="s">
        <v>317</v>
      </c>
      <c r="T37" s="5" t="s">
        <v>317</v>
      </c>
      <c r="U37" s="5" t="s">
        <v>317</v>
      </c>
      <c r="V37" s="5" t="s">
        <v>317</v>
      </c>
      <c r="W37" s="17" t="s">
        <v>1223</v>
      </c>
      <c r="X37" s="22">
        <v>14178771</v>
      </c>
      <c r="Y37" s="5" t="s">
        <v>317</v>
      </c>
      <c r="Z37" s="5" t="s">
        <v>317</v>
      </c>
      <c r="AA37" s="5" t="s">
        <v>317</v>
      </c>
    </row>
    <row r="38" spans="2:27" x14ac:dyDescent="0.25">
      <c r="B38" t="s">
        <v>1232</v>
      </c>
      <c r="C38" t="str">
        <f>IFERROR(INDEX(Tabla10[ID],MATCH(PROP[[#This Row],[NOMBRE DEL PROPONENTE]],Tabla10[Alias],0)),"")</f>
        <v>PROP_48</v>
      </c>
      <c r="D38" t="s">
        <v>1242</v>
      </c>
      <c r="G38" s="117" t="s">
        <v>1232</v>
      </c>
      <c r="H38" s="117" t="str">
        <f>IFERROR(INDEX(Tabla10[ID],MATCH(EVAL_ECO[[#This Row],[NOMBRE DEL PROPONENTE]],Tabla10[Alias],0)),"")</f>
        <v>PROP_02</v>
      </c>
      <c r="I38" t="s">
        <v>160</v>
      </c>
      <c r="J38"/>
      <c r="K38">
        <v>0</v>
      </c>
      <c r="N38" t="s">
        <v>1243</v>
      </c>
      <c r="O38" s="22"/>
      <c r="P38" s="5" t="s">
        <v>317</v>
      </c>
      <c r="Q38" s="5" t="s">
        <v>317</v>
      </c>
      <c r="R38" s="5" t="s">
        <v>317</v>
      </c>
      <c r="S38" s="22" t="s">
        <v>317</v>
      </c>
      <c r="T38" s="5" t="s">
        <v>317</v>
      </c>
      <c r="U38" s="5" t="s">
        <v>317</v>
      </c>
      <c r="V38" s="5" t="s">
        <v>317</v>
      </c>
      <c r="W38" s="17" t="s">
        <v>317</v>
      </c>
      <c r="Y38" s="5" t="s">
        <v>317</v>
      </c>
      <c r="Z38" s="5" t="s">
        <v>317</v>
      </c>
      <c r="AA38" s="5" t="s">
        <v>317</v>
      </c>
    </row>
    <row r="39" spans="2:27" x14ac:dyDescent="0.25">
      <c r="B39" t="s">
        <v>1232</v>
      </c>
      <c r="C39" t="str">
        <f>IFERROR(INDEX(Tabla10[ID],MATCH(PROP[[#This Row],[NOMBRE DEL PROPONENTE]],Tabla10[Alias],0)),"")</f>
        <v>PROP_17</v>
      </c>
      <c r="D39" t="s">
        <v>174</v>
      </c>
      <c r="G39" s="117" t="s">
        <v>1232</v>
      </c>
      <c r="H39" s="117" t="str">
        <f>IFERROR(INDEX(Tabla10[ID],MATCH(EVAL_ECO[[#This Row],[NOMBRE DEL PROPONENTE]],Tabla10[Alias],0)),"")</f>
        <v>PROP_15</v>
      </c>
      <c r="I39" t="s">
        <v>172</v>
      </c>
      <c r="J39"/>
      <c r="K39">
        <v>0</v>
      </c>
      <c r="N39" t="s">
        <v>1243</v>
      </c>
      <c r="O39" s="22"/>
      <c r="P39" s="5" t="s">
        <v>317</v>
      </c>
      <c r="Q39" s="5" t="s">
        <v>317</v>
      </c>
      <c r="R39" s="5" t="s">
        <v>317</v>
      </c>
      <c r="S39" s="22" t="s">
        <v>317</v>
      </c>
      <c r="T39" s="5" t="s">
        <v>317</v>
      </c>
      <c r="U39" s="5" t="s">
        <v>317</v>
      </c>
      <c r="V39" s="5" t="s">
        <v>317</v>
      </c>
      <c r="W39" s="17" t="s">
        <v>317</v>
      </c>
      <c r="Y39" s="5" t="s">
        <v>317</v>
      </c>
      <c r="Z39" s="5" t="s">
        <v>317</v>
      </c>
      <c r="AA39" s="5" t="s">
        <v>317</v>
      </c>
    </row>
    <row r="40" spans="2:27" x14ac:dyDescent="0.25">
      <c r="B40" t="s">
        <v>1232</v>
      </c>
      <c r="C40" t="str">
        <f>IFERROR(INDEX(Tabla10[ID],MATCH(PROP[[#This Row],[NOMBRE DEL PROPONENTE]],Tabla10[Alias],0)),"")</f>
        <v>PROP_18</v>
      </c>
      <c r="D40" t="s">
        <v>175</v>
      </c>
      <c r="G40" s="117" t="s">
        <v>1232</v>
      </c>
      <c r="H40" s="117" t="str">
        <f>IFERROR(INDEX(Tabla10[ID],MATCH(EVAL_ECO[[#This Row],[NOMBRE DEL PROPONENTE]],Tabla10[Alias],0)),"")</f>
        <v>PROP_48</v>
      </c>
      <c r="I40" t="s">
        <v>1242</v>
      </c>
      <c r="J40"/>
      <c r="K40">
        <v>0</v>
      </c>
      <c r="N40" t="s">
        <v>1243</v>
      </c>
      <c r="O40" s="22"/>
      <c r="P40" s="5" t="s">
        <v>317</v>
      </c>
      <c r="Q40" s="5" t="s">
        <v>317</v>
      </c>
      <c r="R40" s="5" t="s">
        <v>317</v>
      </c>
      <c r="S40" s="22" t="s">
        <v>317</v>
      </c>
      <c r="T40" s="5" t="s">
        <v>317</v>
      </c>
      <c r="U40" s="5" t="s">
        <v>317</v>
      </c>
      <c r="V40" s="5" t="s">
        <v>317</v>
      </c>
      <c r="W40" s="17" t="s">
        <v>317</v>
      </c>
      <c r="Y40" s="5" t="s">
        <v>317</v>
      </c>
      <c r="Z40" s="5" t="s">
        <v>317</v>
      </c>
      <c r="AA40" s="5" t="s">
        <v>317</v>
      </c>
    </row>
    <row r="41" spans="2:27" x14ac:dyDescent="0.25">
      <c r="C41" t="str">
        <f>IFERROR(INDEX(Tabla10[ID],MATCH(PROP[[#This Row],[NOMBRE DEL PROPONENTE]],Tabla10[Alias],0)),"")</f>
        <v/>
      </c>
      <c r="G41" s="117" t="s">
        <v>1232</v>
      </c>
      <c r="H41" s="117" t="str">
        <f>IFERROR(INDEX(Tabla10[ID],MATCH(EVAL_ECO[[#This Row],[NOMBRE DEL PROPONENTE]],Tabla10[Alias],0)),"")</f>
        <v>PROP_21</v>
      </c>
      <c r="I41" t="s">
        <v>1236</v>
      </c>
      <c r="J41"/>
      <c r="K41">
        <v>0</v>
      </c>
      <c r="N41" t="s">
        <v>1243</v>
      </c>
      <c r="O41" s="22"/>
      <c r="P41" s="5" t="s">
        <v>317</v>
      </c>
      <c r="Q41" s="5" t="s">
        <v>317</v>
      </c>
      <c r="R41" s="5" t="s">
        <v>317</v>
      </c>
      <c r="S41" s="22" t="s">
        <v>317</v>
      </c>
      <c r="T41" s="5" t="s">
        <v>317</v>
      </c>
      <c r="U41" s="5" t="s">
        <v>317</v>
      </c>
      <c r="V41" s="5" t="s">
        <v>317</v>
      </c>
      <c r="W41" s="17" t="s">
        <v>317</v>
      </c>
      <c r="Y41" s="5" t="s">
        <v>317</v>
      </c>
      <c r="Z41" s="5" t="s">
        <v>317</v>
      </c>
      <c r="AA41" s="5" t="s">
        <v>317</v>
      </c>
    </row>
    <row r="42" spans="2:27" x14ac:dyDescent="0.25">
      <c r="B42" t="s">
        <v>1261</v>
      </c>
      <c r="C42" t="str">
        <f>IFERROR(INDEX(Tabla10[ID],MATCH(PROP[[#This Row],[NOMBRE DEL PROPONENTE]],Tabla10[Alias],0)),"")</f>
        <v/>
      </c>
      <c r="D42" t="s">
        <v>1263</v>
      </c>
      <c r="G42" s="117" t="s">
        <v>1232</v>
      </c>
      <c r="H42" s="117" t="str">
        <f>IFERROR(INDEX(Tabla10[ID],MATCH(EVAL_ECO[[#This Row],[NOMBRE DEL PROPONENTE]],Tabla10[Alias],0)),"")</f>
        <v>PROP_22</v>
      </c>
      <c r="I42" t="s">
        <v>196</v>
      </c>
      <c r="J42" t="s">
        <v>104</v>
      </c>
      <c r="K42" t="s">
        <v>1539</v>
      </c>
      <c r="N42" s="135" t="s">
        <v>1225</v>
      </c>
      <c r="O42" s="22">
        <v>8944953</v>
      </c>
      <c r="P42" s="5" t="s">
        <v>317</v>
      </c>
      <c r="Q42" s="5" t="s">
        <v>317</v>
      </c>
      <c r="R42" s="5" t="s">
        <v>317</v>
      </c>
      <c r="S42" s="22">
        <v>8100400</v>
      </c>
      <c r="T42" s="5" t="s">
        <v>317</v>
      </c>
      <c r="U42" s="5" t="s">
        <v>317</v>
      </c>
      <c r="V42" s="5" t="s">
        <v>317</v>
      </c>
      <c r="W42" s="17" t="s">
        <v>1227</v>
      </c>
      <c r="Y42" s="5" t="s">
        <v>317</v>
      </c>
      <c r="Z42" s="5" t="s">
        <v>317</v>
      </c>
      <c r="AA42" s="5" t="s">
        <v>317</v>
      </c>
    </row>
    <row r="43" spans="2:27" x14ac:dyDescent="0.25">
      <c r="B43" t="s">
        <v>1261</v>
      </c>
      <c r="C43" t="str">
        <f>IFERROR(INDEX(Tabla10[ID],MATCH(PROP[[#This Row],[NOMBRE DEL PROPONENTE]],Tabla10[Alias],0)),"")</f>
        <v>PROP_01</v>
      </c>
      <c r="D43" t="s">
        <v>1264</v>
      </c>
      <c r="G43" s="117" t="s">
        <v>1232</v>
      </c>
      <c r="H43" s="117" t="str">
        <f>IFERROR(INDEX(Tabla10[ID],MATCH(EVAL_ECO[[#This Row],[NOMBRE DEL PROPONENTE]],Tabla10[Alias],0)),"")</f>
        <v>PROP_23</v>
      </c>
      <c r="I43" t="s">
        <v>1256</v>
      </c>
      <c r="J43" t="s">
        <v>104</v>
      </c>
      <c r="K43" t="s">
        <v>1539</v>
      </c>
      <c r="N43" s="135" t="s">
        <v>1225</v>
      </c>
      <c r="O43" s="22">
        <v>8069199</v>
      </c>
      <c r="P43" s="5" t="s">
        <v>317</v>
      </c>
      <c r="Q43" s="5" t="s">
        <v>317</v>
      </c>
      <c r="R43" s="5" t="s">
        <v>317</v>
      </c>
      <c r="S43" s="22">
        <v>8100400</v>
      </c>
      <c r="T43" s="5" t="s">
        <v>317</v>
      </c>
      <c r="U43" s="5" t="s">
        <v>317</v>
      </c>
      <c r="V43" s="5" t="s">
        <v>317</v>
      </c>
      <c r="W43" s="17" t="s">
        <v>1223</v>
      </c>
      <c r="X43" s="22">
        <v>8069199</v>
      </c>
      <c r="Y43" s="5" t="s">
        <v>317</v>
      </c>
      <c r="Z43" s="5" t="s">
        <v>317</v>
      </c>
      <c r="AA43" s="5" t="s">
        <v>317</v>
      </c>
    </row>
    <row r="44" spans="2:27" x14ac:dyDescent="0.25">
      <c r="B44" t="s">
        <v>1261</v>
      </c>
      <c r="C44" t="str">
        <f>IFERROR(INDEX(Tabla10[ID],MATCH(PROP[[#This Row],[NOMBRE DEL PROPONENTE]],Tabla10[Alias],0)),"")</f>
        <v>PROP_35</v>
      </c>
      <c r="D44" t="s">
        <v>1265</v>
      </c>
      <c r="G44" s="117" t="s">
        <v>1232</v>
      </c>
      <c r="H44" s="117" t="str">
        <f>IFERROR(INDEX(Tabla10[ID],MATCH(EVAL_ECO[[#This Row],[NOMBRE DEL PROPONENTE]],Tabla10[Alias],0)),"")</f>
        <v>PROP_24</v>
      </c>
      <c r="I44" t="s">
        <v>197</v>
      </c>
      <c r="J44" t="s">
        <v>104</v>
      </c>
      <c r="K44" t="s">
        <v>1539</v>
      </c>
      <c r="N44" s="135" t="s">
        <v>1225</v>
      </c>
      <c r="O44" s="22">
        <v>9502961</v>
      </c>
      <c r="P44" s="5" t="s">
        <v>317</v>
      </c>
      <c r="Q44" s="5" t="s">
        <v>317</v>
      </c>
      <c r="R44" s="5" t="s">
        <v>317</v>
      </c>
      <c r="S44" s="22">
        <v>8100400</v>
      </c>
      <c r="T44" s="5" t="s">
        <v>317</v>
      </c>
      <c r="U44" s="5" t="s">
        <v>317</v>
      </c>
      <c r="V44" s="5" t="s">
        <v>317</v>
      </c>
      <c r="W44" s="17" t="s">
        <v>1227</v>
      </c>
      <c r="X44" s="22"/>
      <c r="Y44" s="5" t="s">
        <v>317</v>
      </c>
      <c r="Z44" s="5" t="s">
        <v>317</v>
      </c>
      <c r="AA44" s="5" t="s">
        <v>317</v>
      </c>
    </row>
    <row r="45" spans="2:27" x14ac:dyDescent="0.25">
      <c r="B45" t="s">
        <v>1261</v>
      </c>
      <c r="C45" t="str">
        <f>IFERROR(INDEX(Tabla10[ID],MATCH(PROP[[#This Row],[NOMBRE DEL PROPONENTE]],Tabla10[Alias],0)),"")</f>
        <v>PROP_02</v>
      </c>
      <c r="D45" t="s">
        <v>160</v>
      </c>
      <c r="G45" s="117" t="s">
        <v>1232</v>
      </c>
      <c r="H45" s="117" t="str">
        <f>IFERROR(INDEX(Tabla10[ID],MATCH(EVAL_ECO[[#This Row],[NOMBRE DEL PROPONENTE]],Tabla10[Alias],0)),"")</f>
        <v>PROP_01</v>
      </c>
      <c r="I45" t="s">
        <v>1264</v>
      </c>
      <c r="J45" t="s">
        <v>105</v>
      </c>
      <c r="K45" t="s">
        <v>1540</v>
      </c>
      <c r="N45" s="135" t="s">
        <v>1225</v>
      </c>
      <c r="O45" s="22">
        <v>12083918</v>
      </c>
      <c r="P45" s="5" t="s">
        <v>317</v>
      </c>
      <c r="Q45" s="5" t="s">
        <v>317</v>
      </c>
      <c r="R45" s="5" t="s">
        <v>317</v>
      </c>
      <c r="S45" s="22">
        <v>6818952</v>
      </c>
      <c r="T45" s="5" t="s">
        <v>317</v>
      </c>
      <c r="U45" s="5" t="s">
        <v>317</v>
      </c>
      <c r="V45" s="5" t="s">
        <v>317</v>
      </c>
      <c r="W45" s="17" t="s">
        <v>1227</v>
      </c>
      <c r="X45" s="22"/>
      <c r="Y45" s="5" t="s">
        <v>317</v>
      </c>
      <c r="Z45" s="5" t="s">
        <v>317</v>
      </c>
      <c r="AA45" s="5" t="s">
        <v>317</v>
      </c>
    </row>
    <row r="46" spans="2:27" x14ac:dyDescent="0.25">
      <c r="B46" t="s">
        <v>1261</v>
      </c>
      <c r="C46" t="str">
        <f>IFERROR(INDEX(Tabla10[ID],MATCH(PROP[[#This Row],[NOMBRE DEL PROPONENTE]],Tabla10[Alias],0)),"")</f>
        <v>PROP_53</v>
      </c>
      <c r="D46" t="s">
        <v>1266</v>
      </c>
      <c r="G46" s="117" t="s">
        <v>1232</v>
      </c>
      <c r="H46" s="117" t="str">
        <f>IFERROR(INDEX(Tabla10[ID],MATCH(EVAL_ECO[[#This Row],[NOMBRE DEL PROPONENTE]],Tabla10[Alias],0)),"")</f>
        <v>PROP_23</v>
      </c>
      <c r="I46" t="s">
        <v>1256</v>
      </c>
      <c r="J46" t="s">
        <v>105</v>
      </c>
      <c r="K46" t="s">
        <v>1540</v>
      </c>
      <c r="N46" s="135" t="s">
        <v>1225</v>
      </c>
      <c r="O46" s="22">
        <v>8481009</v>
      </c>
      <c r="P46" s="5" t="s">
        <v>317</v>
      </c>
      <c r="Q46" s="5" t="s">
        <v>317</v>
      </c>
      <c r="R46" s="5" t="s">
        <v>317</v>
      </c>
      <c r="S46" s="22">
        <v>6818952</v>
      </c>
      <c r="T46" s="5" t="s">
        <v>317</v>
      </c>
      <c r="U46" s="5" t="s">
        <v>317</v>
      </c>
      <c r="V46" s="5" t="s">
        <v>317</v>
      </c>
      <c r="W46" s="17" t="s">
        <v>1227</v>
      </c>
      <c r="X46" s="22"/>
      <c r="Y46" s="5" t="s">
        <v>317</v>
      </c>
      <c r="Z46" s="5" t="s">
        <v>317</v>
      </c>
      <c r="AA46" s="5" t="s">
        <v>317</v>
      </c>
    </row>
    <row r="47" spans="2:27" x14ac:dyDescent="0.25">
      <c r="B47" t="s">
        <v>1261</v>
      </c>
      <c r="C47" t="str">
        <f>IFERROR(INDEX(Tabla10[ID],MATCH(PROP[[#This Row],[NOMBRE DEL PROPONENTE]],Tabla10[Alias],0)),"")</f>
        <v>PROP_54</v>
      </c>
      <c r="D47" t="s">
        <v>1267</v>
      </c>
      <c r="G47" s="117" t="s">
        <v>1232</v>
      </c>
      <c r="H47" s="117" t="str">
        <f>IFERROR(INDEX(Tabla10[ID],MATCH(EVAL_ECO[[#This Row],[NOMBRE DEL PROPONENTE]],Tabla10[Alias],0)),"")</f>
        <v>PROP_25</v>
      </c>
      <c r="I47" t="s">
        <v>1237</v>
      </c>
      <c r="J47" t="s">
        <v>105</v>
      </c>
      <c r="K47" t="s">
        <v>1540</v>
      </c>
      <c r="N47" s="135" t="s">
        <v>1225</v>
      </c>
      <c r="O47" s="22">
        <v>9810275</v>
      </c>
      <c r="P47" s="5" t="s">
        <v>317</v>
      </c>
      <c r="Q47" s="5" t="s">
        <v>317</v>
      </c>
      <c r="R47" s="5" t="s">
        <v>317</v>
      </c>
      <c r="S47" s="22">
        <v>6818952</v>
      </c>
      <c r="T47" s="5" t="s">
        <v>317</v>
      </c>
      <c r="U47" s="5" t="s">
        <v>317</v>
      </c>
      <c r="V47" s="5" t="s">
        <v>317</v>
      </c>
      <c r="W47" s="17" t="s">
        <v>1227</v>
      </c>
      <c r="X47" s="22"/>
      <c r="Y47" s="5" t="s">
        <v>317</v>
      </c>
      <c r="Z47" s="5" t="s">
        <v>317</v>
      </c>
      <c r="AA47" s="5" t="s">
        <v>317</v>
      </c>
    </row>
    <row r="48" spans="2:27" x14ac:dyDescent="0.25">
      <c r="B48" t="s">
        <v>1261</v>
      </c>
      <c r="C48" t="str">
        <f>IFERROR(INDEX(Tabla10[ID],MATCH(PROP[[#This Row],[NOMBRE DEL PROPONENTE]],Tabla10[Alias],0)),"")</f>
        <v>PROP_03</v>
      </c>
      <c r="D48" t="s">
        <v>1268</v>
      </c>
      <c r="G48" s="117" t="s">
        <v>1232</v>
      </c>
      <c r="H48" s="117" t="str">
        <f>IFERROR(INDEX(Tabla10[ID],MATCH(EVAL_ECO[[#This Row],[NOMBRE DEL PROPONENTE]],Tabla10[Alias],0)),"")</f>
        <v>PROP_17</v>
      </c>
      <c r="I48" t="s">
        <v>174</v>
      </c>
      <c r="J48" t="s">
        <v>106</v>
      </c>
      <c r="K48" t="s">
        <v>1541</v>
      </c>
      <c r="N48" s="135" t="s">
        <v>1225</v>
      </c>
      <c r="O48" s="22">
        <v>21602810</v>
      </c>
      <c r="P48" s="5" t="s">
        <v>317</v>
      </c>
      <c r="Q48" s="5" t="s">
        <v>317</v>
      </c>
      <c r="R48" s="5" t="s">
        <v>317</v>
      </c>
      <c r="S48" s="22">
        <v>15144752</v>
      </c>
      <c r="T48" s="5" t="s">
        <v>317</v>
      </c>
      <c r="U48" s="5" t="s">
        <v>317</v>
      </c>
      <c r="V48" s="5" t="s">
        <v>317</v>
      </c>
      <c r="W48" s="17" t="s">
        <v>1227</v>
      </c>
      <c r="X48" s="22"/>
      <c r="Y48" s="5" t="s">
        <v>317</v>
      </c>
      <c r="Z48" s="5" t="s">
        <v>317</v>
      </c>
      <c r="AA48" s="5" t="s">
        <v>317</v>
      </c>
    </row>
    <row r="49" spans="2:27" x14ac:dyDescent="0.25">
      <c r="B49" t="s">
        <v>1261</v>
      </c>
      <c r="C49" t="str">
        <f>IFERROR(INDEX(Tabla10[ID],MATCH(PROP[[#This Row],[NOMBRE DEL PROPONENTE]],Tabla10[Alias],0)),"")</f>
        <v>PROP_52</v>
      </c>
      <c r="D49" t="s">
        <v>1235</v>
      </c>
      <c r="G49" s="117" t="s">
        <v>1232</v>
      </c>
      <c r="H49" s="117" t="str">
        <f>IFERROR(INDEX(Tabla10[ID],MATCH(EVAL_ECO[[#This Row],[NOMBRE DEL PROPONENTE]],Tabla10[Alias],0)),"")</f>
        <v>PROP_23</v>
      </c>
      <c r="I49" t="s">
        <v>1256</v>
      </c>
      <c r="J49" t="s">
        <v>107</v>
      </c>
      <c r="K49" t="s">
        <v>1542</v>
      </c>
      <c r="N49" s="135" t="s">
        <v>1225</v>
      </c>
      <c r="O49" s="22">
        <v>18240615</v>
      </c>
      <c r="P49" s="5" t="s">
        <v>317</v>
      </c>
      <c r="Q49" s="5" t="s">
        <v>317</v>
      </c>
      <c r="R49" s="5" t="s">
        <v>317</v>
      </c>
      <c r="S49" s="22">
        <v>13576934</v>
      </c>
      <c r="T49" s="5" t="s">
        <v>317</v>
      </c>
      <c r="U49" s="5" t="s">
        <v>317</v>
      </c>
      <c r="V49" s="5" t="s">
        <v>317</v>
      </c>
      <c r="W49" s="17" t="s">
        <v>1227</v>
      </c>
      <c r="X49" s="22"/>
      <c r="Y49" s="5" t="s">
        <v>317</v>
      </c>
      <c r="Z49" s="5" t="s">
        <v>317</v>
      </c>
      <c r="AA49" s="5" t="s">
        <v>317</v>
      </c>
    </row>
    <row r="50" spans="2:27" x14ac:dyDescent="0.25">
      <c r="B50" t="s">
        <v>1261</v>
      </c>
      <c r="C50" t="str">
        <f>IFERROR(INDEX(Tabla10[ID],MATCH(PROP[[#This Row],[NOMBRE DEL PROPONENTE]],Tabla10[Alias],0)),"")</f>
        <v>PROP_50</v>
      </c>
      <c r="D50" t="s">
        <v>1269</v>
      </c>
      <c r="G50" s="117" t="s">
        <v>1232</v>
      </c>
      <c r="H50" s="117" t="str">
        <f>IFERROR(INDEX(Tabla10[ID],MATCH(EVAL_ECO[[#This Row],[NOMBRE DEL PROPONENTE]],Tabla10[Alias],0)),"")</f>
        <v>PROP_26</v>
      </c>
      <c r="I50" t="s">
        <v>198</v>
      </c>
      <c r="J50" t="s">
        <v>107</v>
      </c>
      <c r="K50" t="s">
        <v>1542</v>
      </c>
      <c r="N50" s="135" t="s">
        <v>1225</v>
      </c>
      <c r="O50" s="22">
        <v>16798695</v>
      </c>
      <c r="P50" s="5" t="s">
        <v>317</v>
      </c>
      <c r="Q50" s="5" t="s">
        <v>317</v>
      </c>
      <c r="R50" s="5" t="s">
        <v>317</v>
      </c>
      <c r="S50" s="22">
        <v>13576934</v>
      </c>
      <c r="T50" s="5" t="s">
        <v>317</v>
      </c>
      <c r="U50" s="5" t="s">
        <v>317</v>
      </c>
      <c r="V50" s="5" t="s">
        <v>317</v>
      </c>
      <c r="W50" s="17" t="s">
        <v>1227</v>
      </c>
      <c r="X50" s="22"/>
      <c r="Y50" s="5" t="s">
        <v>317</v>
      </c>
      <c r="Z50" s="5" t="s">
        <v>317</v>
      </c>
      <c r="AA50" s="5" t="s">
        <v>317</v>
      </c>
    </row>
    <row r="51" spans="2:27" x14ac:dyDescent="0.25">
      <c r="B51" t="s">
        <v>1261</v>
      </c>
      <c r="C51" t="str">
        <f>IFERROR(INDEX(Tabla10[ID],MATCH(PROP[[#This Row],[NOMBRE DEL PROPONENTE]],Tabla10[Alias],0)),"")</f>
        <v>PROP_06</v>
      </c>
      <c r="D51" t="s">
        <v>1270</v>
      </c>
      <c r="G51" s="117" t="s">
        <v>1232</v>
      </c>
      <c r="H51" s="117" t="str">
        <f>IFERROR(INDEX(Tabla10[ID],MATCH(EVAL_ECO[[#This Row],[NOMBRE DEL PROPONENTE]],Tabla10[Alias],0)),"")</f>
        <v>PROP_25</v>
      </c>
      <c r="I51" t="s">
        <v>1237</v>
      </c>
      <c r="J51" t="s">
        <v>107</v>
      </c>
      <c r="K51" t="s">
        <v>1542</v>
      </c>
      <c r="N51" s="135" t="s">
        <v>1225</v>
      </c>
      <c r="O51" s="22">
        <v>15236804</v>
      </c>
      <c r="P51" s="5" t="s">
        <v>317</v>
      </c>
      <c r="Q51" s="5" t="s">
        <v>317</v>
      </c>
      <c r="R51" s="5" t="s">
        <v>317</v>
      </c>
      <c r="S51" s="22">
        <v>13576934</v>
      </c>
      <c r="T51" s="5" t="s">
        <v>317</v>
      </c>
      <c r="U51" s="5" t="s">
        <v>317</v>
      </c>
      <c r="V51" s="5" t="s">
        <v>317</v>
      </c>
      <c r="W51" s="17" t="s">
        <v>1227</v>
      </c>
      <c r="X51" s="22"/>
      <c r="Y51" s="5" t="s">
        <v>317</v>
      </c>
      <c r="Z51" s="5" t="s">
        <v>317</v>
      </c>
      <c r="AA51" s="5" t="s">
        <v>317</v>
      </c>
    </row>
    <row r="52" spans="2:27" x14ac:dyDescent="0.25">
      <c r="B52" t="s">
        <v>1261</v>
      </c>
      <c r="C52" t="str">
        <f>IFERROR(INDEX(Tabla10[ID],MATCH(PROP[[#This Row],[NOMBRE DEL PROPONENTE]],Tabla10[Alias],0)),"")</f>
        <v>PROP_25</v>
      </c>
      <c r="D52" t="s">
        <v>1237</v>
      </c>
      <c r="G52" s="117" t="s">
        <v>1232</v>
      </c>
      <c r="H52" s="117" t="str">
        <f>IFERROR(INDEX(Tabla10[ID],MATCH(EVAL_ECO[[#This Row],[NOMBRE DEL PROPONENTE]],Tabla10[Alias],0)),"")</f>
        <v>PROP_23</v>
      </c>
      <c r="I52" t="s">
        <v>1256</v>
      </c>
      <c r="J52" t="s">
        <v>108</v>
      </c>
      <c r="K52" t="s">
        <v>1543</v>
      </c>
      <c r="N52" s="135" t="s">
        <v>1225</v>
      </c>
      <c r="O52" s="22">
        <v>15558083</v>
      </c>
      <c r="P52" s="5" t="s">
        <v>317</v>
      </c>
      <c r="Q52" s="5" t="s">
        <v>317</v>
      </c>
      <c r="R52" s="5" t="s">
        <v>317</v>
      </c>
      <c r="S52" s="22">
        <v>11843762</v>
      </c>
      <c r="T52" s="5" t="s">
        <v>317</v>
      </c>
      <c r="U52" s="5" t="s">
        <v>317</v>
      </c>
      <c r="V52" s="5" t="s">
        <v>317</v>
      </c>
      <c r="W52" s="17" t="s">
        <v>1227</v>
      </c>
      <c r="X52" s="22"/>
      <c r="Y52" s="5" t="s">
        <v>317</v>
      </c>
      <c r="Z52" s="5" t="s">
        <v>317</v>
      </c>
      <c r="AA52" s="5" t="s">
        <v>317</v>
      </c>
    </row>
    <row r="53" spans="2:27" x14ac:dyDescent="0.25">
      <c r="B53" t="s">
        <v>1261</v>
      </c>
      <c r="C53" t="str">
        <f>IFERROR(INDEX(Tabla10[ID],MATCH(PROP[[#This Row],[NOMBRE DEL PROPONENTE]],Tabla10[Alias],0)),"")</f>
        <v>PROP_10</v>
      </c>
      <c r="D53" t="s">
        <v>1280</v>
      </c>
      <c r="G53" s="117" t="s">
        <v>1232</v>
      </c>
      <c r="H53" s="117" t="str">
        <f>IFERROR(INDEX(Tabla10[ID],MATCH(EVAL_ECO[[#This Row],[NOMBRE DEL PROPONENTE]],Tabla10[Alias],0)),"")</f>
        <v>PROP_23</v>
      </c>
      <c r="I53" t="s">
        <v>1256</v>
      </c>
      <c r="J53" t="s">
        <v>110</v>
      </c>
      <c r="K53" t="s">
        <v>1544</v>
      </c>
      <c r="N53" s="135" t="s">
        <v>1225</v>
      </c>
      <c r="O53" s="22">
        <v>16359416</v>
      </c>
      <c r="P53" s="5" t="s">
        <v>317</v>
      </c>
      <c r="Q53" s="5" t="s">
        <v>317</v>
      </c>
      <c r="R53" s="5" t="s">
        <v>317</v>
      </c>
      <c r="S53" s="22">
        <v>18344900</v>
      </c>
      <c r="T53" s="5" t="s">
        <v>317</v>
      </c>
      <c r="U53" s="5" t="s">
        <v>317</v>
      </c>
      <c r="V53" s="5" t="s">
        <v>317</v>
      </c>
      <c r="W53" s="17" t="s">
        <v>1227</v>
      </c>
      <c r="X53" s="22"/>
      <c r="Y53" s="5" t="s">
        <v>317</v>
      </c>
      <c r="Z53" s="5" t="s">
        <v>317</v>
      </c>
      <c r="AA53" s="5" t="s">
        <v>317</v>
      </c>
    </row>
    <row r="54" spans="2:27" x14ac:dyDescent="0.25">
      <c r="B54" t="s">
        <v>1261</v>
      </c>
      <c r="C54" t="str">
        <f>IFERROR(INDEX(Tabla10[ID],MATCH(PROP[[#This Row],[NOMBRE DEL PROPONENTE]],Tabla10[Alias],0)),"")</f>
        <v>PROP_31</v>
      </c>
      <c r="D54" t="s">
        <v>1238</v>
      </c>
      <c r="G54" s="117" t="s">
        <v>1232</v>
      </c>
      <c r="H54" s="117" t="str">
        <f>IFERROR(INDEX(Tabla10[ID],MATCH(EVAL_ECO[[#This Row],[NOMBRE DEL PROPONENTE]],Tabla10[Alias],0)),"")</f>
        <v>PROP_20</v>
      </c>
      <c r="I54" t="s">
        <v>199</v>
      </c>
      <c r="J54" t="s">
        <v>110</v>
      </c>
      <c r="K54" t="s">
        <v>1544</v>
      </c>
      <c r="N54" s="135" t="s">
        <v>1225</v>
      </c>
      <c r="O54" s="22">
        <v>13452153</v>
      </c>
      <c r="P54" s="5" t="s">
        <v>317</v>
      </c>
      <c r="Q54" s="5" t="s">
        <v>317</v>
      </c>
      <c r="R54" s="5" t="s">
        <v>317</v>
      </c>
      <c r="S54" s="22">
        <v>18344900</v>
      </c>
      <c r="T54" s="5" t="s">
        <v>317</v>
      </c>
      <c r="U54" s="5" t="s">
        <v>317</v>
      </c>
      <c r="V54" s="5" t="s">
        <v>317</v>
      </c>
      <c r="W54" s="17" t="s">
        <v>1223</v>
      </c>
      <c r="X54" s="22">
        <v>13452153</v>
      </c>
      <c r="Y54" s="5" t="s">
        <v>317</v>
      </c>
      <c r="Z54" s="5" t="s">
        <v>317</v>
      </c>
      <c r="AA54" s="5" t="s">
        <v>317</v>
      </c>
    </row>
    <row r="55" spans="2:27" x14ac:dyDescent="0.25">
      <c r="B55" t="s">
        <v>1261</v>
      </c>
      <c r="C55" t="str">
        <f>IFERROR(INDEX(Tabla10[ID],MATCH(PROP[[#This Row],[NOMBRE DEL PROPONENTE]],Tabla10[Alias],0)),"")</f>
        <v>PROP_24</v>
      </c>
      <c r="D55" t="s">
        <v>201</v>
      </c>
      <c r="G55" s="117" t="s">
        <v>1232</v>
      </c>
      <c r="H55" s="117" t="str">
        <f>IFERROR(INDEX(Tabla10[ID],MATCH(EVAL_ECO[[#This Row],[NOMBRE DEL PROPONENTE]],Tabla10[Alias],0)),"")</f>
        <v>PROP_27</v>
      </c>
      <c r="I55" t="s">
        <v>200</v>
      </c>
      <c r="J55" t="s">
        <v>111</v>
      </c>
      <c r="K55" t="s">
        <v>1545</v>
      </c>
      <c r="N55" s="135" t="s">
        <v>1225</v>
      </c>
      <c r="O55" s="22">
        <v>11152379</v>
      </c>
      <c r="P55" s="5" t="s">
        <v>317</v>
      </c>
      <c r="Q55" s="5" t="s">
        <v>317</v>
      </c>
      <c r="R55" s="5" t="s">
        <v>317</v>
      </c>
      <c r="S55" s="22">
        <v>10662820</v>
      </c>
      <c r="T55" s="5" t="s">
        <v>317</v>
      </c>
      <c r="U55" s="5" t="s">
        <v>317</v>
      </c>
      <c r="V55" s="5" t="s">
        <v>317</v>
      </c>
      <c r="W55" s="17" t="s">
        <v>1227</v>
      </c>
      <c r="X55" s="22"/>
      <c r="Y55" s="5" t="s">
        <v>317</v>
      </c>
      <c r="Z55" s="5" t="s">
        <v>317</v>
      </c>
      <c r="AA55" s="5" t="s">
        <v>317</v>
      </c>
    </row>
    <row r="56" spans="2:27" x14ac:dyDescent="0.25">
      <c r="B56" t="s">
        <v>1261</v>
      </c>
      <c r="C56" t="str">
        <f>IFERROR(INDEX(Tabla10[ID],MATCH(PROP[[#This Row],[NOMBRE DEL PROPONENTE]],Tabla10[Alias],0)),"")</f>
        <v>PROP_56</v>
      </c>
      <c r="D56" t="s">
        <v>1271</v>
      </c>
      <c r="G56" s="117" t="s">
        <v>1232</v>
      </c>
      <c r="H56" s="117" t="str">
        <f>IFERROR(INDEX(Tabla10[ID],MATCH(EVAL_ECO[[#This Row],[NOMBRE DEL PROPONENTE]],Tabla10[Alias],0)),"")</f>
        <v>PROP_23</v>
      </c>
      <c r="I56" t="s">
        <v>1256</v>
      </c>
      <c r="J56" t="s">
        <v>111</v>
      </c>
      <c r="K56" t="s">
        <v>1545</v>
      </c>
      <c r="N56" s="135" t="s">
        <v>1225</v>
      </c>
      <c r="O56" s="22">
        <v>13848445</v>
      </c>
      <c r="P56" s="5" t="s">
        <v>317</v>
      </c>
      <c r="Q56" s="5" t="s">
        <v>317</v>
      </c>
      <c r="R56" s="5" t="s">
        <v>317</v>
      </c>
      <c r="S56" s="22">
        <v>10662820</v>
      </c>
      <c r="T56" s="5" t="s">
        <v>317</v>
      </c>
      <c r="U56" s="5" t="s">
        <v>317</v>
      </c>
      <c r="V56" s="5" t="s">
        <v>317</v>
      </c>
      <c r="W56" s="17" t="s">
        <v>1227</v>
      </c>
      <c r="X56" s="22"/>
      <c r="Y56" s="5" t="s">
        <v>317</v>
      </c>
      <c r="Z56" s="5" t="s">
        <v>317</v>
      </c>
      <c r="AA56" s="5" t="s">
        <v>317</v>
      </c>
    </row>
    <row r="57" spans="2:27" x14ac:dyDescent="0.25">
      <c r="B57" t="s">
        <v>1261</v>
      </c>
      <c r="C57" t="str">
        <f>IFERROR(INDEX(Tabla10[ID],MATCH(PROP[[#This Row],[NOMBRE DEL PROPONENTE]],Tabla10[Alias],0)),"")</f>
        <v>PROP_13</v>
      </c>
      <c r="D57" t="s">
        <v>1283</v>
      </c>
      <c r="G57" s="117" t="s">
        <v>1232</v>
      </c>
      <c r="H57" s="117" t="str">
        <f>IFERROR(INDEX(Tabla10[ID],MATCH(EVAL_ECO[[#This Row],[NOMBRE DEL PROPONENTE]],Tabla10[Alias],0)),"")</f>
        <v>PROP_28</v>
      </c>
      <c r="I57" t="s">
        <v>1282</v>
      </c>
      <c r="J57" t="s">
        <v>111</v>
      </c>
      <c r="K57" t="s">
        <v>1545</v>
      </c>
      <c r="N57" s="135" t="s">
        <v>1225</v>
      </c>
      <c r="O57" s="22">
        <v>16609343</v>
      </c>
      <c r="P57" s="5" t="s">
        <v>317</v>
      </c>
      <c r="Q57" s="5" t="s">
        <v>317</v>
      </c>
      <c r="R57" s="5" t="s">
        <v>317</v>
      </c>
      <c r="S57" s="22">
        <v>10662820</v>
      </c>
      <c r="T57" s="5" t="s">
        <v>317</v>
      </c>
      <c r="U57" s="5" t="s">
        <v>317</v>
      </c>
      <c r="V57" s="5" t="s">
        <v>317</v>
      </c>
      <c r="W57" s="17" t="s">
        <v>1227</v>
      </c>
      <c r="X57" s="22"/>
      <c r="Y57" s="5" t="s">
        <v>317</v>
      </c>
      <c r="Z57" s="5" t="s">
        <v>317</v>
      </c>
      <c r="AA57" s="5" t="s">
        <v>317</v>
      </c>
    </row>
    <row r="58" spans="2:27" x14ac:dyDescent="0.25">
      <c r="B58" t="s">
        <v>1261</v>
      </c>
      <c r="C58" t="str">
        <f>IFERROR(INDEX(Tabla10[ID],MATCH(PROP[[#This Row],[NOMBRE DEL PROPONENTE]],Tabla10[Alias],0)),"")</f>
        <v>PROP_48</v>
      </c>
      <c r="D58" t="s">
        <v>1242</v>
      </c>
      <c r="G58" s="117" t="s">
        <v>1232</v>
      </c>
      <c r="H58" s="117" t="str">
        <f>IFERROR(INDEX(Tabla10[ID],MATCH(EVAL_ECO[[#This Row],[NOMBRE DEL PROPONENTE]],Tabla10[Alias],0)),"")</f>
        <v>PROP_24</v>
      </c>
      <c r="I58" t="s">
        <v>201</v>
      </c>
      <c r="J58" t="s">
        <v>111</v>
      </c>
      <c r="K58" t="s">
        <v>1545</v>
      </c>
      <c r="N58" s="135" t="s">
        <v>1225</v>
      </c>
      <c r="O58" s="22">
        <v>14451914.9</v>
      </c>
      <c r="P58" s="5" t="s">
        <v>317</v>
      </c>
      <c r="Q58" s="5" t="s">
        <v>317</v>
      </c>
      <c r="R58" s="5" t="s">
        <v>317</v>
      </c>
      <c r="S58" s="22">
        <v>10662820</v>
      </c>
      <c r="T58" s="5" t="s">
        <v>317</v>
      </c>
      <c r="U58" s="5" t="s">
        <v>317</v>
      </c>
      <c r="V58" s="5" t="s">
        <v>317</v>
      </c>
      <c r="W58" s="17" t="s">
        <v>1227</v>
      </c>
      <c r="X58" s="22"/>
      <c r="Y58" s="5" t="s">
        <v>317</v>
      </c>
      <c r="Z58" s="5" t="s">
        <v>317</v>
      </c>
      <c r="AA58" s="5" t="s">
        <v>317</v>
      </c>
    </row>
    <row r="59" spans="2:27" x14ac:dyDescent="0.25">
      <c r="B59" t="s">
        <v>1261</v>
      </c>
      <c r="C59" t="str">
        <f>IFERROR(INDEX(Tabla10[ID],MATCH(PROP[[#This Row],[NOMBRE DEL PROPONENTE]],Tabla10[Alias],0)),"")</f>
        <v>PROP_16</v>
      </c>
      <c r="D59" t="s">
        <v>1272</v>
      </c>
      <c r="G59" s="117" t="s">
        <v>1232</v>
      </c>
      <c r="H59" s="117" t="str">
        <f>IFERROR(INDEX(Tabla10[ID],MATCH(EVAL_ECO[[#This Row],[NOMBRE DEL PROPONENTE]],Tabla10[Alias],0)),"")</f>
        <v>PROP_29</v>
      </c>
      <c r="I59" t="s">
        <v>202</v>
      </c>
      <c r="J59" t="s">
        <v>111</v>
      </c>
      <c r="K59" t="s">
        <v>1545</v>
      </c>
      <c r="N59" s="135" t="s">
        <v>1225</v>
      </c>
      <c r="O59" s="22">
        <v>10744181</v>
      </c>
      <c r="P59" s="5" t="s">
        <v>317</v>
      </c>
      <c r="Q59" s="5" t="s">
        <v>317</v>
      </c>
      <c r="R59" s="5" t="s">
        <v>317</v>
      </c>
      <c r="S59" s="22">
        <v>10662820</v>
      </c>
      <c r="T59" s="5" t="s">
        <v>317</v>
      </c>
      <c r="U59" s="5" t="s">
        <v>317</v>
      </c>
      <c r="V59" s="5" t="s">
        <v>317</v>
      </c>
      <c r="W59" s="17" t="s">
        <v>1227</v>
      </c>
      <c r="X59" s="22"/>
      <c r="Y59" s="5" t="s">
        <v>317</v>
      </c>
      <c r="Z59" s="5" t="s">
        <v>317</v>
      </c>
      <c r="AA59" s="5" t="s">
        <v>317</v>
      </c>
    </row>
    <row r="60" spans="2:27" x14ac:dyDescent="0.25">
      <c r="B60" t="s">
        <v>1261</v>
      </c>
      <c r="C60" t="str">
        <f>IFERROR(INDEX(Tabla10[ID],MATCH(PROP[[#This Row],[NOMBRE DEL PROPONENTE]],Tabla10[Alias],0)),"")</f>
        <v>PROP_17</v>
      </c>
      <c r="D60" t="s">
        <v>174</v>
      </c>
      <c r="G60" s="117" t="s">
        <v>1232</v>
      </c>
      <c r="H60" s="117" t="str">
        <f>IFERROR(INDEX(Tabla10[ID],MATCH(EVAL_ECO[[#This Row],[NOMBRE DEL PROPONENTE]],Tabla10[Alias],0)),"")</f>
        <v>PROP_01</v>
      </c>
      <c r="I60" t="s">
        <v>1264</v>
      </c>
      <c r="J60" t="s">
        <v>116</v>
      </c>
      <c r="K60" t="s">
        <v>1562</v>
      </c>
      <c r="N60" s="135" t="s">
        <v>1225</v>
      </c>
      <c r="O60" s="22">
        <v>5588310.8300000001</v>
      </c>
      <c r="P60" s="5" t="s">
        <v>317</v>
      </c>
      <c r="Q60" s="5" t="s">
        <v>317</v>
      </c>
      <c r="R60" s="5" t="s">
        <v>317</v>
      </c>
      <c r="S60" s="22">
        <v>4328100</v>
      </c>
      <c r="T60" s="5" t="s">
        <v>317</v>
      </c>
      <c r="U60" s="5" t="s">
        <v>317</v>
      </c>
      <c r="V60" s="5" t="s">
        <v>317</v>
      </c>
      <c r="W60" s="17" t="s">
        <v>1227</v>
      </c>
      <c r="X60" s="22"/>
      <c r="Y60" s="5" t="s">
        <v>317</v>
      </c>
      <c r="Z60" s="5" t="s">
        <v>317</v>
      </c>
      <c r="AA60" s="5" t="s">
        <v>317</v>
      </c>
    </row>
    <row r="61" spans="2:27" x14ac:dyDescent="0.25">
      <c r="B61" t="s">
        <v>1261</v>
      </c>
      <c r="C61" t="str">
        <f>IFERROR(INDEX(Tabla10[ID],MATCH(PROP[[#This Row],[NOMBRE DEL PROPONENTE]],Tabla10[Alias],0)),"")</f>
        <v>PROP_18</v>
      </c>
      <c r="D61" t="s">
        <v>175</v>
      </c>
      <c r="G61" s="117" t="s">
        <v>1232</v>
      </c>
      <c r="H61" s="117" t="str">
        <f>IFERROR(INDEX(Tabla10[ID],MATCH(EVAL_ECO[[#This Row],[NOMBRE DEL PROPONENTE]],Tabla10[Alias],0)),"")</f>
        <v>PROP_23</v>
      </c>
      <c r="I61" t="s">
        <v>1256</v>
      </c>
      <c r="J61" t="s">
        <v>116</v>
      </c>
      <c r="K61" s="152" t="s">
        <v>1562</v>
      </c>
      <c r="N61" s="135" t="s">
        <v>1225</v>
      </c>
      <c r="O61" s="22">
        <v>5973332</v>
      </c>
      <c r="P61" s="5" t="s">
        <v>317</v>
      </c>
      <c r="Q61" s="5" t="s">
        <v>317</v>
      </c>
      <c r="R61" s="5" t="s">
        <v>317</v>
      </c>
      <c r="S61" s="22">
        <v>4328100</v>
      </c>
      <c r="T61" s="5" t="s">
        <v>317</v>
      </c>
      <c r="U61" s="5" t="s">
        <v>317</v>
      </c>
      <c r="V61" s="5" t="s">
        <v>317</v>
      </c>
      <c r="W61" s="17" t="s">
        <v>1227</v>
      </c>
      <c r="X61" s="22"/>
      <c r="Y61" s="5" t="s">
        <v>317</v>
      </c>
      <c r="Z61" s="5" t="s">
        <v>317</v>
      </c>
      <c r="AA61" s="5" t="s">
        <v>317</v>
      </c>
    </row>
    <row r="62" spans="2:27" x14ac:dyDescent="0.25">
      <c r="C62" t="str">
        <f>IFERROR(INDEX(Tabla10[ID],MATCH(PROP[[#This Row],[NOMBRE DEL PROPONENTE]],Tabla10[Alias],0)),"")</f>
        <v/>
      </c>
      <c r="G62" s="117" t="s">
        <v>1232</v>
      </c>
      <c r="H62" s="117" t="str">
        <f>IFERROR(INDEX(Tabla10[ID],MATCH(EVAL_ECO[[#This Row],[NOMBRE DEL PROPONENTE]],Tabla10[Alias],0)),"")</f>
        <v>PROP_23</v>
      </c>
      <c r="I62" t="s">
        <v>1256</v>
      </c>
      <c r="J62" t="s">
        <v>119</v>
      </c>
      <c r="K62" t="s">
        <v>1563</v>
      </c>
      <c r="N62" s="135" t="s">
        <v>1225</v>
      </c>
      <c r="O62" s="22">
        <v>6480217</v>
      </c>
      <c r="P62" s="5" t="s">
        <v>317</v>
      </c>
      <c r="Q62" s="5" t="s">
        <v>317</v>
      </c>
      <c r="R62" s="5" t="s">
        <v>317</v>
      </c>
      <c r="S62" s="22">
        <v>4558400</v>
      </c>
      <c r="T62" s="5" t="s">
        <v>317</v>
      </c>
      <c r="U62" s="5" t="s">
        <v>317</v>
      </c>
      <c r="V62" s="5" t="s">
        <v>317</v>
      </c>
      <c r="W62" s="17" t="s">
        <v>1227</v>
      </c>
      <c r="X62" s="22"/>
      <c r="Y62" s="5" t="s">
        <v>317</v>
      </c>
      <c r="Z62" s="5" t="s">
        <v>317</v>
      </c>
      <c r="AA62" s="5" t="s">
        <v>317</v>
      </c>
    </row>
    <row r="63" spans="2:27" x14ac:dyDescent="0.25">
      <c r="B63" t="s">
        <v>1288</v>
      </c>
      <c r="C63" t="str">
        <f>IFERROR(INDEX(Tabla10[ID],MATCH(PROP[[#This Row],[NOMBRE DEL PROPONENTE]],Tabla10[Alias],0)),"")</f>
        <v>PROP_49</v>
      </c>
      <c r="D63" t="s">
        <v>1289</v>
      </c>
      <c r="G63" s="117" t="s">
        <v>1232</v>
      </c>
      <c r="H63" s="117" t="str">
        <f>IFERROR(INDEX(Tabla10[ID],MATCH(EVAL_ECO[[#This Row],[NOMBRE DEL PROPONENTE]],Tabla10[Alias],0)),"")</f>
        <v>PROP_01</v>
      </c>
      <c r="I63" t="s">
        <v>1264</v>
      </c>
      <c r="J63" t="s">
        <v>1244</v>
      </c>
      <c r="K63" t="s">
        <v>1244</v>
      </c>
      <c r="N63" s="135" t="s">
        <v>1225</v>
      </c>
      <c r="O63" s="22">
        <v>4465166.37</v>
      </c>
      <c r="P63" s="5" t="s">
        <v>317</v>
      </c>
      <c r="Q63" s="5" t="s">
        <v>317</v>
      </c>
      <c r="R63" s="5" t="s">
        <v>317</v>
      </c>
      <c r="S63" s="22">
        <v>4153520</v>
      </c>
      <c r="T63" s="5" t="s">
        <v>317</v>
      </c>
      <c r="U63" s="5" t="s">
        <v>317</v>
      </c>
      <c r="V63" s="5" t="s">
        <v>317</v>
      </c>
      <c r="W63" s="17" t="s">
        <v>1227</v>
      </c>
      <c r="X63" s="22"/>
      <c r="Y63" s="5" t="s">
        <v>317</v>
      </c>
      <c r="Z63" s="5" t="s">
        <v>317</v>
      </c>
      <c r="AA63" s="5" t="s">
        <v>317</v>
      </c>
    </row>
    <row r="64" spans="2:27" x14ac:dyDescent="0.25">
      <c r="B64" t="s">
        <v>1288</v>
      </c>
      <c r="C64" t="str">
        <f>IFERROR(INDEX(Tabla10[ID],MATCH(PROP[[#This Row],[NOMBRE DEL PROPONENTE]],Tabla10[Alias],0)),"")</f>
        <v>PROP_57</v>
      </c>
      <c r="D64" t="s">
        <v>1294</v>
      </c>
      <c r="G64" s="117" t="s">
        <v>1232</v>
      </c>
      <c r="H64" s="117" t="str">
        <f>IFERROR(INDEX(Tabla10[ID],MATCH(EVAL_ECO[[#This Row],[NOMBRE DEL PROPONENTE]],Tabla10[Alias],0)),"")</f>
        <v>PROP_23</v>
      </c>
      <c r="I64" t="s">
        <v>1256</v>
      </c>
      <c r="J64" t="s">
        <v>1244</v>
      </c>
      <c r="K64" t="s">
        <v>1244</v>
      </c>
      <c r="N64" s="135" t="s">
        <v>1225</v>
      </c>
      <c r="O64" s="22">
        <v>5250178</v>
      </c>
      <c r="P64" s="5" t="s">
        <v>317</v>
      </c>
      <c r="Q64" s="5" t="s">
        <v>317</v>
      </c>
      <c r="R64" s="5" t="s">
        <v>317</v>
      </c>
      <c r="S64" s="22">
        <v>4153520</v>
      </c>
      <c r="T64" s="5" t="s">
        <v>317</v>
      </c>
      <c r="U64" s="5" t="s">
        <v>317</v>
      </c>
      <c r="V64" s="5" t="s">
        <v>317</v>
      </c>
      <c r="W64" s="17" t="s">
        <v>1227</v>
      </c>
      <c r="X64" s="22"/>
      <c r="Y64" s="5" t="s">
        <v>317</v>
      </c>
      <c r="Z64" s="5" t="s">
        <v>317</v>
      </c>
      <c r="AA64" s="5" t="s">
        <v>317</v>
      </c>
    </row>
    <row r="65" spans="2:27" x14ac:dyDescent="0.25">
      <c r="B65" t="s">
        <v>1288</v>
      </c>
      <c r="C65" t="str">
        <f>IFERROR(INDEX(Tabla10[ID],MATCH(PROP[[#This Row],[NOMBRE DEL PROPONENTE]],Tabla10[Alias],0)),"")</f>
        <v/>
      </c>
      <c r="D65" t="s">
        <v>1369</v>
      </c>
      <c r="G65" s="117" t="s">
        <v>1232</v>
      </c>
      <c r="H65" s="117" t="str">
        <f>IFERROR(INDEX(Tabla10[ID],MATCH(EVAL_ECO[[#This Row],[NOMBRE DEL PROPONENTE]],Tabla10[Alias],0)),"")</f>
        <v>PROP_18</v>
      </c>
      <c r="I65" t="s">
        <v>175</v>
      </c>
      <c r="J65" t="s">
        <v>1244</v>
      </c>
      <c r="K65" t="s">
        <v>1244</v>
      </c>
      <c r="N65" s="135" t="s">
        <v>1225</v>
      </c>
      <c r="O65" s="22">
        <v>5142991</v>
      </c>
      <c r="P65" s="5" t="s">
        <v>317</v>
      </c>
      <c r="Q65" s="5" t="s">
        <v>317</v>
      </c>
      <c r="R65" s="5" t="s">
        <v>317</v>
      </c>
      <c r="S65" s="22">
        <v>4153520</v>
      </c>
      <c r="T65" s="5" t="s">
        <v>317</v>
      </c>
      <c r="U65" s="5" t="s">
        <v>317</v>
      </c>
      <c r="V65" s="5" t="s">
        <v>317</v>
      </c>
      <c r="W65" s="17" t="s">
        <v>1227</v>
      </c>
      <c r="X65" s="22"/>
      <c r="Y65" s="5" t="s">
        <v>317</v>
      </c>
      <c r="Z65" s="5" t="s">
        <v>317</v>
      </c>
      <c r="AA65" s="5" t="s">
        <v>317</v>
      </c>
    </row>
    <row r="66" spans="2:27" x14ac:dyDescent="0.25">
      <c r="B66" t="s">
        <v>1288</v>
      </c>
      <c r="C66" t="str">
        <f>IFERROR(INDEX(Tabla10[ID],MATCH(PROP[[#This Row],[NOMBRE DEL PROPONENTE]],Tabla10[Alias],0)),"")</f>
        <v>PROP_58</v>
      </c>
      <c r="D66" t="s">
        <v>1290</v>
      </c>
      <c r="G66" s="117" t="s">
        <v>1232</v>
      </c>
      <c r="H66" s="117" t="str">
        <f>IFERROR(INDEX(Tabla10[ID],MATCH(EVAL_ECO[[#This Row],[NOMBRE DEL PROPONENTE]],Tabla10[Alias],0)),"")</f>
        <v>PROP_23</v>
      </c>
      <c r="I66" t="s">
        <v>1256</v>
      </c>
      <c r="J66" t="s">
        <v>1245</v>
      </c>
      <c r="K66" t="s">
        <v>1245</v>
      </c>
      <c r="N66" s="135" t="s">
        <v>1225</v>
      </c>
      <c r="O66" s="22">
        <v>5100344</v>
      </c>
      <c r="P66" s="5" t="s">
        <v>317</v>
      </c>
      <c r="Q66" s="5" t="s">
        <v>317</v>
      </c>
      <c r="R66" s="5" t="s">
        <v>317</v>
      </c>
      <c r="S66" s="22">
        <v>3339140</v>
      </c>
      <c r="T66" s="5" t="s">
        <v>317</v>
      </c>
      <c r="U66" s="5" t="s">
        <v>317</v>
      </c>
      <c r="V66" s="5" t="s">
        <v>317</v>
      </c>
      <c r="W66" s="17" t="s">
        <v>1227</v>
      </c>
      <c r="X66" s="22"/>
      <c r="Y66" s="5" t="s">
        <v>317</v>
      </c>
      <c r="Z66" s="5" t="s">
        <v>317</v>
      </c>
      <c r="AA66" s="5" t="s">
        <v>317</v>
      </c>
    </row>
    <row r="67" spans="2:27" x14ac:dyDescent="0.25">
      <c r="B67" t="s">
        <v>1288</v>
      </c>
      <c r="C67" t="str">
        <f>IFERROR(INDEX(Tabla10[ID],MATCH(PROP[[#This Row],[NOMBRE DEL PROPONENTE]],Tabla10[Alias],0)),"")</f>
        <v>PROP_59</v>
      </c>
      <c r="D67" t="s">
        <v>1291</v>
      </c>
      <c r="G67" s="117" t="s">
        <v>1232</v>
      </c>
      <c r="H67" s="117" t="str">
        <f>IFERROR(INDEX(Tabla10[ID],MATCH(EVAL_ECO[[#This Row],[NOMBRE DEL PROPONENTE]],Tabla10[Alias],0)),"")</f>
        <v>PROP_27</v>
      </c>
      <c r="I67" t="s">
        <v>200</v>
      </c>
      <c r="J67" t="s">
        <v>1246</v>
      </c>
      <c r="K67" t="s">
        <v>1246</v>
      </c>
      <c r="N67" s="135" t="s">
        <v>1225</v>
      </c>
      <c r="O67" s="22">
        <v>5652437</v>
      </c>
      <c r="P67" s="5" t="s">
        <v>317</v>
      </c>
      <c r="Q67" s="5" t="s">
        <v>317</v>
      </c>
      <c r="R67" s="5" t="s">
        <v>317</v>
      </c>
      <c r="S67" s="22">
        <v>4043550</v>
      </c>
      <c r="T67" s="5" t="s">
        <v>317</v>
      </c>
      <c r="U67" s="5" t="s">
        <v>317</v>
      </c>
      <c r="V67" s="5" t="s">
        <v>317</v>
      </c>
      <c r="W67" s="17" t="s">
        <v>1227</v>
      </c>
      <c r="X67" s="22"/>
      <c r="Y67" s="5" t="s">
        <v>317</v>
      </c>
      <c r="Z67" s="5" t="s">
        <v>317</v>
      </c>
      <c r="AA67" s="5" t="s">
        <v>317</v>
      </c>
    </row>
    <row r="68" spans="2:27" x14ac:dyDescent="0.25">
      <c r="B68" t="s">
        <v>1288</v>
      </c>
      <c r="C68" t="str">
        <f>IFERROR(INDEX(Tabla10[ID],MATCH(PROP[[#This Row],[NOMBRE DEL PROPONENTE]],Tabla10[Alias],0)),"")</f>
        <v>PROP_60</v>
      </c>
      <c r="D68" t="s">
        <v>1292</v>
      </c>
      <c r="G68" s="117" t="s">
        <v>1232</v>
      </c>
      <c r="H68" s="117" t="str">
        <f>IFERROR(INDEX(Tabla10[ID],MATCH(EVAL_ECO[[#This Row],[NOMBRE DEL PROPONENTE]],Tabla10[Alias],0)),"")</f>
        <v>PROP_23</v>
      </c>
      <c r="I68" t="s">
        <v>1256</v>
      </c>
      <c r="J68" t="s">
        <v>1246</v>
      </c>
      <c r="K68" t="s">
        <v>1246</v>
      </c>
      <c r="N68" s="135" t="s">
        <v>1225</v>
      </c>
      <c r="O68" s="22">
        <v>6001370</v>
      </c>
      <c r="P68" s="5" t="s">
        <v>317</v>
      </c>
      <c r="Q68" s="5" t="s">
        <v>317</v>
      </c>
      <c r="R68" s="5" t="s">
        <v>317</v>
      </c>
      <c r="S68" s="22">
        <v>4043550</v>
      </c>
      <c r="T68" s="5" t="s">
        <v>317</v>
      </c>
      <c r="U68" s="5" t="s">
        <v>317</v>
      </c>
      <c r="V68" s="5" t="s">
        <v>317</v>
      </c>
      <c r="W68" s="17" t="s">
        <v>1227</v>
      </c>
      <c r="X68" s="22"/>
      <c r="Y68" s="5" t="s">
        <v>317</v>
      </c>
      <c r="Z68" s="5" t="s">
        <v>317</v>
      </c>
      <c r="AA68" s="5" t="s">
        <v>317</v>
      </c>
    </row>
    <row r="69" spans="2:27" x14ac:dyDescent="0.25">
      <c r="B69" t="s">
        <v>1288</v>
      </c>
      <c r="C69" t="str">
        <f>IFERROR(INDEX(Tabla10[ID],MATCH(PROP[[#This Row],[NOMBRE DEL PROPONENTE]],Tabla10[Alias],0)),"")</f>
        <v>PROP_61</v>
      </c>
      <c r="D69" t="s">
        <v>1298</v>
      </c>
      <c r="G69" s="117" t="s">
        <v>1232</v>
      </c>
      <c r="H69" s="117" t="str">
        <f>IFERROR(INDEX(Tabla10[ID],MATCH(EVAL_ECO[[#This Row],[NOMBRE DEL PROPONENTE]],Tabla10[Alias],0)),"")</f>
        <v>PROP_18</v>
      </c>
      <c r="I69" t="s">
        <v>175</v>
      </c>
      <c r="J69" t="s">
        <v>1246</v>
      </c>
      <c r="K69" t="s">
        <v>1246</v>
      </c>
      <c r="N69" s="135" t="s">
        <v>1225</v>
      </c>
      <c r="O69" s="22">
        <v>5194320</v>
      </c>
      <c r="P69" s="5" t="s">
        <v>317</v>
      </c>
      <c r="Q69" s="5" t="s">
        <v>317</v>
      </c>
      <c r="R69" s="5" t="s">
        <v>317</v>
      </c>
      <c r="S69" s="22">
        <v>4043550</v>
      </c>
      <c r="T69" s="5" t="s">
        <v>317</v>
      </c>
      <c r="U69" s="5" t="s">
        <v>317</v>
      </c>
      <c r="V69" s="5" t="s">
        <v>317</v>
      </c>
      <c r="W69" s="17" t="s">
        <v>1227</v>
      </c>
      <c r="X69" s="22"/>
      <c r="Y69" s="5" t="s">
        <v>317</v>
      </c>
      <c r="Z69" s="5" t="s">
        <v>317</v>
      </c>
      <c r="AA69" s="5" t="s">
        <v>317</v>
      </c>
    </row>
    <row r="70" spans="2:27" x14ac:dyDescent="0.25">
      <c r="B70" t="s">
        <v>1288</v>
      </c>
      <c r="C70" t="str">
        <f>IFERROR(INDEX(Tabla10[ID],MATCH(PROP[[#This Row],[NOMBRE DEL PROPONENTE]],Tabla10[Alias],0)),"")</f>
        <v>PROP_62</v>
      </c>
      <c r="D70" t="s">
        <v>1296</v>
      </c>
      <c r="G70" s="117" t="s">
        <v>1232</v>
      </c>
      <c r="H70" s="117" t="str">
        <f>IFERROR(INDEX(Tabla10[ID],MATCH(EVAL_ECO[[#This Row],[NOMBRE DEL PROPONENTE]],Tabla10[Alias],0)),"")</f>
        <v>PROP_01</v>
      </c>
      <c r="I70" t="s">
        <v>1264</v>
      </c>
      <c r="J70" t="s">
        <v>1247</v>
      </c>
      <c r="K70" t="s">
        <v>1247</v>
      </c>
      <c r="N70" s="135" t="s">
        <v>1225</v>
      </c>
      <c r="O70" s="22">
        <v>5029540.47</v>
      </c>
      <c r="P70" s="5" t="s">
        <v>317</v>
      </c>
      <c r="Q70" s="5" t="s">
        <v>317</v>
      </c>
      <c r="R70" s="5" t="s">
        <v>317</v>
      </c>
      <c r="S70" s="22">
        <v>4343710</v>
      </c>
      <c r="T70" s="5" t="s">
        <v>317</v>
      </c>
      <c r="U70" s="5" t="s">
        <v>317</v>
      </c>
      <c r="V70" s="5" t="s">
        <v>317</v>
      </c>
      <c r="W70" s="17" t="s">
        <v>1227</v>
      </c>
      <c r="X70" s="22"/>
      <c r="Y70" s="5" t="s">
        <v>317</v>
      </c>
      <c r="Z70" s="5" t="s">
        <v>317</v>
      </c>
      <c r="AA70" s="5" t="s">
        <v>317</v>
      </c>
    </row>
    <row r="71" spans="2:27" x14ac:dyDescent="0.25">
      <c r="B71" t="s">
        <v>1288</v>
      </c>
      <c r="C71" t="str">
        <f>IFERROR(INDEX(Tabla10[ID],MATCH(PROP[[#This Row],[NOMBRE DEL PROPONENTE]],Tabla10[Alias],0)),"")</f>
        <v>PROP_47</v>
      </c>
      <c r="D71" t="s">
        <v>1297</v>
      </c>
      <c r="G71" s="117" t="s">
        <v>1232</v>
      </c>
      <c r="H71" s="117" t="str">
        <f>IFERROR(INDEX(Tabla10[ID],MATCH(EVAL_ECO[[#This Row],[NOMBRE DEL PROPONENTE]],Tabla10[Alias],0)),"")</f>
        <v>PROP_27</v>
      </c>
      <c r="I71" t="s">
        <v>200</v>
      </c>
      <c r="J71" t="s">
        <v>1247</v>
      </c>
      <c r="K71" t="s">
        <v>1247</v>
      </c>
      <c r="N71" s="135" t="s">
        <v>1225</v>
      </c>
      <c r="O71" s="22">
        <v>5638657</v>
      </c>
      <c r="P71" s="5" t="s">
        <v>317</v>
      </c>
      <c r="Q71" s="5" t="s">
        <v>317</v>
      </c>
      <c r="R71" s="5" t="s">
        <v>317</v>
      </c>
      <c r="S71" s="22">
        <v>4343710</v>
      </c>
      <c r="T71" s="5" t="s">
        <v>317</v>
      </c>
      <c r="U71" s="5" t="s">
        <v>317</v>
      </c>
      <c r="V71" s="5" t="s">
        <v>317</v>
      </c>
      <c r="W71" s="17" t="s">
        <v>1227</v>
      </c>
      <c r="X71" s="22"/>
      <c r="Y71" s="5" t="s">
        <v>317</v>
      </c>
      <c r="Z71" s="5" t="s">
        <v>317</v>
      </c>
      <c r="AA71" s="5" t="s">
        <v>317</v>
      </c>
    </row>
    <row r="72" spans="2:27" x14ac:dyDescent="0.25">
      <c r="B72" t="s">
        <v>1288</v>
      </c>
      <c r="C72" t="str">
        <f>IFERROR(INDEX(Tabla10[ID],MATCH(PROP[[#This Row],[NOMBRE DEL PROPONENTE]],Tabla10[Alias],0)),"")</f>
        <v>PROP_63</v>
      </c>
      <c r="D72" t="s">
        <v>1299</v>
      </c>
      <c r="G72" s="117" t="s">
        <v>1232</v>
      </c>
      <c r="H72" s="117" t="str">
        <f>IFERROR(INDEX(Tabla10[ID],MATCH(EVAL_ECO[[#This Row],[NOMBRE DEL PROPONENTE]],Tabla10[Alias],0)),"")</f>
        <v>PROP_01</v>
      </c>
      <c r="I72" t="s">
        <v>1264</v>
      </c>
      <c r="J72" t="s">
        <v>1248</v>
      </c>
      <c r="K72" t="s">
        <v>1248</v>
      </c>
      <c r="N72" s="135" t="s">
        <v>1225</v>
      </c>
      <c r="O72" s="22">
        <v>3867101.88</v>
      </c>
      <c r="P72" s="5" t="s">
        <v>317</v>
      </c>
      <c r="Q72" s="5" t="s">
        <v>317</v>
      </c>
      <c r="R72" s="5" t="s">
        <v>317</v>
      </c>
      <c r="S72" s="22">
        <v>4321492</v>
      </c>
      <c r="T72" s="5" t="s">
        <v>317</v>
      </c>
      <c r="U72" s="5" t="s">
        <v>317</v>
      </c>
      <c r="V72" s="5" t="s">
        <v>317</v>
      </c>
      <c r="W72" s="17" t="s">
        <v>1223</v>
      </c>
      <c r="X72" s="22">
        <v>3867102</v>
      </c>
      <c r="Y72" s="5" t="s">
        <v>317</v>
      </c>
      <c r="Z72" s="5" t="s">
        <v>317</v>
      </c>
      <c r="AA72" s="5" t="s">
        <v>317</v>
      </c>
    </row>
    <row r="73" spans="2:27" x14ac:dyDescent="0.25">
      <c r="B73" t="s">
        <v>1288</v>
      </c>
      <c r="C73" t="str">
        <f>IFERROR(INDEX(Tabla10[ID],MATCH(PROP[[#This Row],[NOMBRE DEL PROPONENTE]],Tabla10[Alias],0)),"")</f>
        <v>PROP_52</v>
      </c>
      <c r="D73" t="s">
        <v>1235</v>
      </c>
      <c r="G73" s="117" t="s">
        <v>1232</v>
      </c>
      <c r="H73" s="117" t="str">
        <f>IFERROR(INDEX(Tabla10[ID],MATCH(EVAL_ECO[[#This Row],[NOMBRE DEL PROPONENTE]],Tabla10[Alias],0)),"")</f>
        <v>PROP_27</v>
      </c>
      <c r="I73" t="s">
        <v>200</v>
      </c>
      <c r="J73" t="s">
        <v>1248</v>
      </c>
      <c r="K73" t="s">
        <v>1248</v>
      </c>
      <c r="N73" s="135" t="s">
        <v>1225</v>
      </c>
      <c r="O73" s="22">
        <v>5159664</v>
      </c>
      <c r="P73" s="5" t="s">
        <v>317</v>
      </c>
      <c r="Q73" s="5" t="s">
        <v>317</v>
      </c>
      <c r="R73" s="5" t="s">
        <v>317</v>
      </c>
      <c r="S73" s="22">
        <v>4321492</v>
      </c>
      <c r="T73" s="5" t="s">
        <v>317</v>
      </c>
      <c r="U73" s="5" t="s">
        <v>317</v>
      </c>
      <c r="V73" s="5" t="s">
        <v>317</v>
      </c>
      <c r="W73" s="17" t="s">
        <v>1227</v>
      </c>
      <c r="Y73" s="5" t="s">
        <v>317</v>
      </c>
      <c r="Z73" s="5" t="s">
        <v>317</v>
      </c>
      <c r="AA73" s="5" t="s">
        <v>317</v>
      </c>
    </row>
    <row r="74" spans="2:27" x14ac:dyDescent="0.25">
      <c r="B74" t="s">
        <v>1288</v>
      </c>
      <c r="C74" t="str">
        <f>IFERROR(INDEX(Tabla10[ID],MATCH(PROP[[#This Row],[NOMBRE DEL PROPONENTE]],Tabla10[Alias],0)),"")</f>
        <v>PROP_64</v>
      </c>
      <c r="D74" t="s">
        <v>1293</v>
      </c>
      <c r="G74" s="117" t="s">
        <v>1232</v>
      </c>
      <c r="H74" s="117" t="str">
        <f>IFERROR(INDEX(Tabla10[ID],MATCH(EVAL_ECO[[#This Row],[NOMBRE DEL PROPONENTE]],Tabla10[Alias],0)),"")</f>
        <v>PROP_30</v>
      </c>
      <c r="I74" t="s">
        <v>203</v>
      </c>
      <c r="J74" t="s">
        <v>1248</v>
      </c>
      <c r="K74" t="s">
        <v>1248</v>
      </c>
      <c r="N74" s="135" t="s">
        <v>1225</v>
      </c>
      <c r="O74" s="22">
        <v>4450000</v>
      </c>
      <c r="P74" s="5" t="s">
        <v>317</v>
      </c>
      <c r="Q74" s="5" t="s">
        <v>317</v>
      </c>
      <c r="R74" s="5" t="s">
        <v>317</v>
      </c>
      <c r="S74" s="22">
        <v>4321492</v>
      </c>
      <c r="T74" s="5" t="s">
        <v>317</v>
      </c>
      <c r="U74" s="5" t="s">
        <v>317</v>
      </c>
      <c r="V74" s="5" t="s">
        <v>317</v>
      </c>
      <c r="W74" s="17" t="s">
        <v>1227</v>
      </c>
      <c r="Y74" s="5" t="s">
        <v>317</v>
      </c>
      <c r="Z74" s="5" t="s">
        <v>317</v>
      </c>
      <c r="AA74" s="5" t="s">
        <v>317</v>
      </c>
    </row>
    <row r="75" spans="2:27" x14ac:dyDescent="0.25">
      <c r="B75" t="s">
        <v>1288</v>
      </c>
      <c r="C75" t="str">
        <f>IFERROR(INDEX(Tabla10[ID],MATCH(PROP[[#This Row],[NOMBRE DEL PROPONENTE]],Tabla10[Alias],0)),"")</f>
        <v>PROP_65</v>
      </c>
      <c r="D75" t="s">
        <v>1295</v>
      </c>
      <c r="G75" s="117" t="s">
        <v>1232</v>
      </c>
      <c r="H75" s="117" t="str">
        <f>IFERROR(INDEX(Tabla10[ID],MATCH(EVAL_ECO[[#This Row],[NOMBRE DEL PROPONENTE]],Tabla10[Alias],0)),"")</f>
        <v>PROP_27</v>
      </c>
      <c r="I75" t="s">
        <v>200</v>
      </c>
      <c r="J75" t="s">
        <v>1249</v>
      </c>
      <c r="K75" t="s">
        <v>1249</v>
      </c>
      <c r="N75" s="135" t="s">
        <v>1225</v>
      </c>
      <c r="O75" s="22">
        <v>4266257</v>
      </c>
      <c r="P75" s="5" t="s">
        <v>317</v>
      </c>
      <c r="Q75" s="5" t="s">
        <v>317</v>
      </c>
      <c r="R75" s="5" t="s">
        <v>317</v>
      </c>
      <c r="S75" s="22">
        <v>2040724</v>
      </c>
      <c r="T75" s="5" t="s">
        <v>317</v>
      </c>
      <c r="U75" s="5" t="s">
        <v>317</v>
      </c>
      <c r="V75" s="5" t="s">
        <v>317</v>
      </c>
      <c r="W75" s="17" t="s">
        <v>1227</v>
      </c>
      <c r="Y75" s="5" t="s">
        <v>317</v>
      </c>
      <c r="Z75" s="5" t="s">
        <v>317</v>
      </c>
      <c r="AA75" s="5" t="s">
        <v>317</v>
      </c>
    </row>
    <row r="76" spans="2:27" x14ac:dyDescent="0.25">
      <c r="B76" t="s">
        <v>1288</v>
      </c>
      <c r="C76" t="str">
        <f>IFERROR(INDEX(Tabla10[ID],MATCH(PROP[[#This Row],[NOMBRE DEL PROPONENTE]],Tabla10[Alias],0)),"")</f>
        <v>PROP_66</v>
      </c>
      <c r="D76" t="s">
        <v>1300</v>
      </c>
      <c r="G76" s="117" t="s">
        <v>1232</v>
      </c>
      <c r="H76" s="117" t="str">
        <f>IFERROR(INDEX(Tabla10[ID],MATCH(EVAL_ECO[[#This Row],[NOMBRE DEL PROPONENTE]],Tabla10[Alias],0)),"")</f>
        <v>PROP_23</v>
      </c>
      <c r="I76" t="s">
        <v>1256</v>
      </c>
      <c r="J76" t="s">
        <v>1249</v>
      </c>
      <c r="K76" t="s">
        <v>1249</v>
      </c>
      <c r="N76" s="135" t="s">
        <v>1225</v>
      </c>
      <c r="O76" s="22">
        <v>3680688</v>
      </c>
      <c r="P76" s="5" t="s">
        <v>317</v>
      </c>
      <c r="Q76" s="5" t="s">
        <v>317</v>
      </c>
      <c r="R76" s="5" t="s">
        <v>317</v>
      </c>
      <c r="S76" s="22">
        <v>2040724</v>
      </c>
      <c r="T76" s="5" t="s">
        <v>317</v>
      </c>
      <c r="U76" s="5" t="s">
        <v>317</v>
      </c>
      <c r="V76" s="5" t="s">
        <v>317</v>
      </c>
      <c r="W76" s="17" t="s">
        <v>1227</v>
      </c>
      <c r="Y76" s="5" t="s">
        <v>317</v>
      </c>
      <c r="Z76" s="5" t="s">
        <v>317</v>
      </c>
      <c r="AA76" s="5" t="s">
        <v>317</v>
      </c>
    </row>
    <row r="77" spans="2:27" x14ac:dyDescent="0.25">
      <c r="B77" t="s">
        <v>1288</v>
      </c>
      <c r="C77" t="str">
        <f>IFERROR(INDEX(Tabla10[ID],MATCH(PROP[[#This Row],[NOMBRE DEL PROPONENTE]],Tabla10[Alias],0)),"")</f>
        <v/>
      </c>
      <c r="G77" s="117" t="s">
        <v>1232</v>
      </c>
      <c r="H77" s="117" t="str">
        <f>IFERROR(INDEX(Tabla10[ID],MATCH(EVAL_ECO[[#This Row],[NOMBRE DEL PROPONENTE]],Tabla10[Alias],0)),"")</f>
        <v>PROP_18</v>
      </c>
      <c r="I77" t="s">
        <v>175</v>
      </c>
      <c r="J77" t="s">
        <v>1249</v>
      </c>
      <c r="K77" t="s">
        <v>1249</v>
      </c>
      <c r="N77" s="135" t="s">
        <v>1225</v>
      </c>
      <c r="O77" s="22">
        <v>2910011</v>
      </c>
      <c r="P77" s="5" t="s">
        <v>317</v>
      </c>
      <c r="Q77" s="5" t="s">
        <v>317</v>
      </c>
      <c r="R77" s="5" t="s">
        <v>317</v>
      </c>
      <c r="S77" s="22">
        <v>2040724</v>
      </c>
      <c r="T77" s="5" t="s">
        <v>317</v>
      </c>
      <c r="U77" s="5" t="s">
        <v>317</v>
      </c>
      <c r="V77" s="5" t="s">
        <v>317</v>
      </c>
      <c r="W77" s="17" t="s">
        <v>1227</v>
      </c>
      <c r="Y77" s="5" t="s">
        <v>317</v>
      </c>
      <c r="Z77" s="5" t="s">
        <v>317</v>
      </c>
      <c r="AA77" s="5" t="s">
        <v>317</v>
      </c>
    </row>
    <row r="78" spans="2:27" x14ac:dyDescent="0.25">
      <c r="C78" t="str">
        <f>IFERROR(INDEX(Tabla10[ID],MATCH(PROP[[#This Row],[NOMBRE DEL PROPONENTE]],Tabla10[Alias],0)),"")</f>
        <v/>
      </c>
      <c r="G78" s="117" t="s">
        <v>1232</v>
      </c>
      <c r="H78" s="117" t="str">
        <f>IFERROR(INDEX(Tabla10[ID],MATCH(EVAL_ECO[[#This Row],[NOMBRE DEL PROPONENTE]],Tabla10[Alias],0)),"")</f>
        <v>PROP_01</v>
      </c>
      <c r="I78" t="s">
        <v>1264</v>
      </c>
      <c r="J78" t="s">
        <v>1250</v>
      </c>
      <c r="K78" t="s">
        <v>1250</v>
      </c>
      <c r="N78" s="135" t="s">
        <v>1225</v>
      </c>
      <c r="O78" s="22">
        <v>6842875.4199999999</v>
      </c>
      <c r="P78" s="5" t="s">
        <v>317</v>
      </c>
      <c r="Q78" s="5" t="s">
        <v>317</v>
      </c>
      <c r="R78" s="5" t="s">
        <v>317</v>
      </c>
      <c r="S78" s="22">
        <v>4459280</v>
      </c>
      <c r="T78" s="5" t="s">
        <v>317</v>
      </c>
      <c r="U78" s="5" t="s">
        <v>317</v>
      </c>
      <c r="V78" s="5" t="s">
        <v>317</v>
      </c>
      <c r="W78" s="17" t="s">
        <v>1227</v>
      </c>
      <c r="Y78" s="5" t="s">
        <v>317</v>
      </c>
      <c r="Z78" s="5" t="s">
        <v>317</v>
      </c>
      <c r="AA78" s="5" t="s">
        <v>317</v>
      </c>
    </row>
    <row r="79" spans="2:27" x14ac:dyDescent="0.25">
      <c r="B79" t="s">
        <v>1301</v>
      </c>
      <c r="C79" t="str">
        <f>IFERROR(INDEX(Tabla10[ID],MATCH(PROP[[#This Row],[NOMBRE DEL PROPONENTE]],Tabla10[Alias],0)),"")</f>
        <v>PROP_01</v>
      </c>
      <c r="D79" t="s">
        <v>1264</v>
      </c>
      <c r="G79" s="117" t="s">
        <v>1232</v>
      </c>
      <c r="H79" s="117" t="str">
        <f>IFERROR(INDEX(Tabla10[ID],MATCH(EVAL_ECO[[#This Row],[NOMBRE DEL PROPONENTE]],Tabla10[Alias],0)),"")</f>
        <v>PROP_23</v>
      </c>
      <c r="I79" t="s">
        <v>1256</v>
      </c>
      <c r="J79" t="s">
        <v>1250</v>
      </c>
      <c r="K79" t="s">
        <v>1250</v>
      </c>
      <c r="N79" s="135" t="s">
        <v>1225</v>
      </c>
      <c r="O79" s="22">
        <v>5508379</v>
      </c>
      <c r="P79" s="5" t="s">
        <v>317</v>
      </c>
      <c r="Q79" s="5" t="s">
        <v>317</v>
      </c>
      <c r="R79" s="5" t="s">
        <v>317</v>
      </c>
      <c r="S79" s="22">
        <v>4459280</v>
      </c>
      <c r="T79" s="5" t="s">
        <v>317</v>
      </c>
      <c r="U79" s="5" t="s">
        <v>317</v>
      </c>
      <c r="V79" s="5" t="s">
        <v>317</v>
      </c>
      <c r="W79" s="17" t="s">
        <v>1227</v>
      </c>
      <c r="Y79" s="5" t="s">
        <v>317</v>
      </c>
      <c r="Z79" s="5" t="s">
        <v>317</v>
      </c>
      <c r="AA79" s="5" t="s">
        <v>317</v>
      </c>
    </row>
    <row r="80" spans="2:27" x14ac:dyDescent="0.25">
      <c r="B80" t="s">
        <v>1301</v>
      </c>
      <c r="C80" t="str">
        <f>IFERROR(INDEX(Tabla10[ID],MATCH(PROP[[#This Row],[NOMBRE DEL PROPONENTE]],Tabla10[Alias],0)),"")</f>
        <v>PROP_44</v>
      </c>
      <c r="D80" t="s">
        <v>1304</v>
      </c>
      <c r="G80" s="117" t="s">
        <v>1232</v>
      </c>
      <c r="H80" s="117" t="str">
        <f>IFERROR(INDEX(Tabla10[ID],MATCH(EVAL_ECO[[#This Row],[NOMBRE DEL PROPONENTE]],Tabla10[Alias],0)),"")</f>
        <v>PROP_27</v>
      </c>
      <c r="I80" t="s">
        <v>200</v>
      </c>
      <c r="J80" t="s">
        <v>1251</v>
      </c>
      <c r="K80" t="s">
        <v>1251</v>
      </c>
      <c r="N80" s="135" t="s">
        <v>1225</v>
      </c>
      <c r="O80" s="22">
        <v>8284626</v>
      </c>
      <c r="P80" s="5" t="s">
        <v>317</v>
      </c>
      <c r="Q80" s="5" t="s">
        <v>317</v>
      </c>
      <c r="R80" s="5" t="s">
        <v>317</v>
      </c>
      <c r="S80" s="22">
        <v>9291380</v>
      </c>
      <c r="T80" s="5" t="s">
        <v>317</v>
      </c>
      <c r="U80" s="5" t="s">
        <v>317</v>
      </c>
      <c r="V80" s="5" t="s">
        <v>317</v>
      </c>
      <c r="W80" s="17" t="s">
        <v>1227</v>
      </c>
      <c r="Y80" s="5" t="s">
        <v>317</v>
      </c>
      <c r="Z80" s="5" t="s">
        <v>317</v>
      </c>
      <c r="AA80" s="5" t="s">
        <v>317</v>
      </c>
    </row>
    <row r="81" spans="2:27" x14ac:dyDescent="0.25">
      <c r="B81" t="s">
        <v>1301</v>
      </c>
      <c r="C81" t="str">
        <f>IFERROR(INDEX(Tabla10[ID],MATCH(PROP[[#This Row],[NOMBRE DEL PROPONENTE]],Tabla10[Alias],0)),"")</f>
        <v>PROP_45</v>
      </c>
      <c r="D81" t="s">
        <v>1305</v>
      </c>
      <c r="G81" s="117" t="s">
        <v>1232</v>
      </c>
      <c r="H81" s="117" t="str">
        <f>IFERROR(INDEX(Tabla10[ID],MATCH(EVAL_ECO[[#This Row],[NOMBRE DEL PROPONENTE]],Tabla10[Alias],0)),"")</f>
        <v>PROP_23</v>
      </c>
      <c r="I81" t="s">
        <v>1256</v>
      </c>
      <c r="J81" t="s">
        <v>1251</v>
      </c>
      <c r="K81" t="s">
        <v>1251</v>
      </c>
      <c r="N81" s="135" t="s">
        <v>1225</v>
      </c>
      <c r="O81" s="22">
        <v>9433372</v>
      </c>
      <c r="P81" s="5" t="s">
        <v>317</v>
      </c>
      <c r="Q81" s="5" t="s">
        <v>317</v>
      </c>
      <c r="R81" s="5" t="s">
        <v>317</v>
      </c>
      <c r="S81" s="22">
        <v>9291380</v>
      </c>
      <c r="T81" s="5" t="s">
        <v>317</v>
      </c>
      <c r="U81" s="5" t="s">
        <v>317</v>
      </c>
      <c r="V81" s="5" t="s">
        <v>317</v>
      </c>
      <c r="W81" s="17" t="s">
        <v>1227</v>
      </c>
      <c r="Y81" s="5" t="s">
        <v>317</v>
      </c>
      <c r="Z81" s="5" t="s">
        <v>317</v>
      </c>
      <c r="AA81" s="5" t="s">
        <v>317</v>
      </c>
    </row>
    <row r="82" spans="2:27" x14ac:dyDescent="0.25">
      <c r="B82" t="s">
        <v>1301</v>
      </c>
      <c r="C82" t="str">
        <f>IFERROR(INDEX(Tabla10[ID],MATCH(PROP[[#This Row],[NOMBRE DEL PROPONENTE]],Tabla10[Alias],0)),"")</f>
        <v>PROP_46</v>
      </c>
      <c r="D82" t="s">
        <v>1306</v>
      </c>
      <c r="G82" s="117" t="s">
        <v>1232</v>
      </c>
      <c r="H82" s="117" t="str">
        <f>IFERROR(INDEX(Tabla10[ID],MATCH(EVAL_ECO[[#This Row],[NOMBRE DEL PROPONENTE]],Tabla10[Alias],0)),"")</f>
        <v>PROP_28</v>
      </c>
      <c r="I82" t="s">
        <v>1282</v>
      </c>
      <c r="J82" t="s">
        <v>1251</v>
      </c>
      <c r="K82" t="s">
        <v>1251</v>
      </c>
      <c r="N82" s="135" t="s">
        <v>1225</v>
      </c>
      <c r="O82" s="22">
        <v>9943457</v>
      </c>
      <c r="P82" s="5" t="s">
        <v>317</v>
      </c>
      <c r="Q82" s="5" t="s">
        <v>317</v>
      </c>
      <c r="R82" s="5" t="s">
        <v>317</v>
      </c>
      <c r="S82" s="22">
        <v>9291380</v>
      </c>
      <c r="T82" s="5" t="s">
        <v>317</v>
      </c>
      <c r="U82" s="5" t="s">
        <v>317</v>
      </c>
      <c r="V82" s="5" t="s">
        <v>317</v>
      </c>
      <c r="W82" s="17" t="s">
        <v>1227</v>
      </c>
      <c r="Y82" s="5" t="s">
        <v>317</v>
      </c>
      <c r="Z82" s="5" t="s">
        <v>317</v>
      </c>
      <c r="AA82" s="5" t="s">
        <v>317</v>
      </c>
    </row>
    <row r="83" spans="2:27" x14ac:dyDescent="0.25">
      <c r="B83" t="s">
        <v>1301</v>
      </c>
      <c r="C83" t="str">
        <f>IFERROR(INDEX(Tabla10[ID],MATCH(PROP[[#This Row],[NOMBRE DEL PROPONENTE]],Tabla10[Alias],0)),"")</f>
        <v>PROP_47</v>
      </c>
      <c r="D83" t="s">
        <v>1297</v>
      </c>
      <c r="G83" s="117" t="s">
        <v>1232</v>
      </c>
      <c r="H83" s="117" t="str">
        <f>IFERROR(INDEX(Tabla10[ID],MATCH(EVAL_ECO[[#This Row],[NOMBRE DEL PROPONENTE]],Tabla10[Alias],0)),"")</f>
        <v>PROP_01</v>
      </c>
      <c r="I83" t="s">
        <v>1264</v>
      </c>
      <c r="J83" t="s">
        <v>1252</v>
      </c>
      <c r="K83" t="s">
        <v>1252</v>
      </c>
      <c r="N83" s="135" t="s">
        <v>1225</v>
      </c>
      <c r="O83" s="22">
        <v>3617038.76</v>
      </c>
      <c r="P83" s="5" t="s">
        <v>317</v>
      </c>
      <c r="Q83" s="5" t="s">
        <v>317</v>
      </c>
      <c r="R83" s="5" t="s">
        <v>317</v>
      </c>
      <c r="S83" s="22">
        <v>2763222</v>
      </c>
      <c r="T83" s="5" t="s">
        <v>317</v>
      </c>
      <c r="U83" s="5" t="s">
        <v>317</v>
      </c>
      <c r="V83" s="5" t="s">
        <v>317</v>
      </c>
      <c r="W83" s="17" t="s">
        <v>1227</v>
      </c>
      <c r="Y83" s="5" t="s">
        <v>317</v>
      </c>
      <c r="Z83" s="5" t="s">
        <v>317</v>
      </c>
      <c r="AA83" s="5" t="s">
        <v>317</v>
      </c>
    </row>
    <row r="84" spans="2:27" x14ac:dyDescent="0.25">
      <c r="C84" t="str">
        <f>IFERROR(INDEX(Tabla10[ID],MATCH(PROP[[#This Row],[NOMBRE DEL PROPONENTE]],Tabla10[Alias],0)),"")</f>
        <v/>
      </c>
      <c r="G84" s="117" t="s">
        <v>1232</v>
      </c>
      <c r="H84" s="117" t="str">
        <f>IFERROR(INDEX(Tabla10[ID],MATCH(EVAL_ECO[[#This Row],[NOMBRE DEL PROPONENTE]],Tabla10[Alias],0)),"")</f>
        <v>PROP_23</v>
      </c>
      <c r="I84" t="s">
        <v>1256</v>
      </c>
      <c r="J84" t="s">
        <v>1252</v>
      </c>
      <c r="K84" t="s">
        <v>1252</v>
      </c>
      <c r="N84" s="135" t="s">
        <v>1225</v>
      </c>
      <c r="O84" s="22">
        <v>3974320</v>
      </c>
      <c r="P84" s="5" t="s">
        <v>317</v>
      </c>
      <c r="Q84" s="5" t="s">
        <v>317</v>
      </c>
      <c r="R84" s="5" t="s">
        <v>317</v>
      </c>
      <c r="S84" s="22">
        <v>2763222</v>
      </c>
      <c r="T84" s="5" t="s">
        <v>317</v>
      </c>
      <c r="U84" s="5" t="s">
        <v>317</v>
      </c>
      <c r="V84" s="5" t="s">
        <v>317</v>
      </c>
      <c r="W84" s="17" t="s">
        <v>1227</v>
      </c>
      <c r="Y84" s="5" t="s">
        <v>317</v>
      </c>
      <c r="Z84" s="5" t="s">
        <v>317</v>
      </c>
      <c r="AA84" s="5" t="s">
        <v>317</v>
      </c>
    </row>
    <row r="85" spans="2:27" x14ac:dyDescent="0.25">
      <c r="C85" t="str">
        <f>IFERROR(INDEX(Tabla10[ID],MATCH(PROP[[#This Row],[NOMBRE DEL PROPONENTE]],Tabla10[Alias],0)),"")</f>
        <v/>
      </c>
      <c r="G85" s="117" t="s">
        <v>1232</v>
      </c>
      <c r="H85" s="117" t="str">
        <f>IFERROR(INDEX(Tabla10[ID],MATCH(EVAL_ECO[[#This Row],[NOMBRE DEL PROPONENTE]],Tabla10[Alias],0)),"")</f>
        <v>PROP_31</v>
      </c>
      <c r="I85" t="s">
        <v>204</v>
      </c>
      <c r="J85" t="s">
        <v>1252</v>
      </c>
      <c r="K85" t="s">
        <v>1252</v>
      </c>
      <c r="N85" s="135" t="s">
        <v>1225</v>
      </c>
      <c r="O85" s="22">
        <v>2851908.14</v>
      </c>
      <c r="P85" s="5" t="s">
        <v>317</v>
      </c>
      <c r="Q85" s="5" t="s">
        <v>317</v>
      </c>
      <c r="R85" s="5" t="s">
        <v>317</v>
      </c>
      <c r="S85" s="22">
        <v>2763222</v>
      </c>
      <c r="T85" s="5" t="s">
        <v>317</v>
      </c>
      <c r="U85" s="5" t="s">
        <v>317</v>
      </c>
      <c r="V85" s="5" t="s">
        <v>317</v>
      </c>
      <c r="W85" s="17" t="s">
        <v>1227</v>
      </c>
      <c r="Y85" s="5" t="s">
        <v>317</v>
      </c>
      <c r="Z85" s="5" t="s">
        <v>317</v>
      </c>
      <c r="AA85" s="5" t="s">
        <v>317</v>
      </c>
    </row>
    <row r="86" spans="2:27" x14ac:dyDescent="0.25">
      <c r="C86" t="str">
        <f>IFERROR(INDEX(Tabla10[ID],MATCH(PROP[[#This Row],[NOMBRE DEL PROPONENTE]],Tabla10[Alias],0)),"")</f>
        <v/>
      </c>
      <c r="G86" s="117" t="s">
        <v>1232</v>
      </c>
      <c r="H86" s="117" t="str">
        <f>IFERROR(INDEX(Tabla10[ID],MATCH(EVAL_ECO[[#This Row],[NOMBRE DEL PROPONENTE]],Tabla10[Alias],0)),"")</f>
        <v>PROP_01</v>
      </c>
      <c r="I86" t="s">
        <v>1264</v>
      </c>
      <c r="J86" t="s">
        <v>1253</v>
      </c>
      <c r="K86" t="s">
        <v>1253</v>
      </c>
      <c r="N86" s="135" t="s">
        <v>1225</v>
      </c>
      <c r="O86" s="22">
        <v>4437286.43</v>
      </c>
      <c r="P86" s="5" t="s">
        <v>317</v>
      </c>
      <c r="Q86" s="5" t="s">
        <v>317</v>
      </c>
      <c r="R86" s="5" t="s">
        <v>317</v>
      </c>
      <c r="S86" s="22">
        <v>2065000</v>
      </c>
      <c r="T86" s="5" t="s">
        <v>317</v>
      </c>
      <c r="U86" s="5" t="s">
        <v>317</v>
      </c>
      <c r="V86" s="5" t="s">
        <v>317</v>
      </c>
      <c r="W86" s="17" t="s">
        <v>1227</v>
      </c>
      <c r="Y86" s="5" t="s">
        <v>317</v>
      </c>
      <c r="Z86" s="5" t="s">
        <v>317</v>
      </c>
      <c r="AA86" s="5" t="s">
        <v>317</v>
      </c>
    </row>
    <row r="87" spans="2:27" x14ac:dyDescent="0.25">
      <c r="G87" s="117" t="s">
        <v>1232</v>
      </c>
      <c r="H87" s="117" t="str">
        <f>IFERROR(INDEX(Tabla10[ID],MATCH(EVAL_ECO[[#This Row],[NOMBRE DEL PROPONENTE]],Tabla10[Alias],0)),"")</f>
        <v>PROP_23</v>
      </c>
      <c r="I87" t="s">
        <v>1256</v>
      </c>
      <c r="J87" t="s">
        <v>1253</v>
      </c>
      <c r="K87" t="s">
        <v>1253</v>
      </c>
      <c r="N87" s="135" t="s">
        <v>1225</v>
      </c>
      <c r="O87" s="22">
        <v>3562696</v>
      </c>
      <c r="P87" s="5" t="s">
        <v>317</v>
      </c>
      <c r="Q87" s="5" t="s">
        <v>317</v>
      </c>
      <c r="R87" s="5" t="s">
        <v>317</v>
      </c>
      <c r="S87" s="22">
        <v>2065000</v>
      </c>
      <c r="T87" s="5" t="s">
        <v>317</v>
      </c>
      <c r="U87" s="5" t="s">
        <v>317</v>
      </c>
      <c r="V87" s="5" t="s">
        <v>317</v>
      </c>
      <c r="W87" s="17" t="s">
        <v>1227</v>
      </c>
      <c r="Y87" s="5" t="s">
        <v>317</v>
      </c>
      <c r="Z87" s="5" t="s">
        <v>317</v>
      </c>
      <c r="AA87" s="5" t="s">
        <v>317</v>
      </c>
    </row>
    <row r="88" spans="2:27" x14ac:dyDescent="0.25">
      <c r="G88" s="117" t="s">
        <v>1232</v>
      </c>
      <c r="H88" s="117" t="str">
        <f>IFERROR(INDEX(Tabla10[ID],MATCH(EVAL_ECO[[#This Row],[NOMBRE DEL PROPONENTE]],Tabla10[Alias],0)),"")</f>
        <v>PROP_31</v>
      </c>
      <c r="I88" t="s">
        <v>204</v>
      </c>
      <c r="J88" t="s">
        <v>1253</v>
      </c>
      <c r="K88" t="s">
        <v>1253</v>
      </c>
      <c r="N88" s="135" t="s">
        <v>1225</v>
      </c>
      <c r="O88" s="22">
        <v>2688269.7</v>
      </c>
      <c r="P88" s="5" t="s">
        <v>317</v>
      </c>
      <c r="Q88" s="5" t="s">
        <v>317</v>
      </c>
      <c r="R88" s="5" t="s">
        <v>317</v>
      </c>
      <c r="S88" s="22">
        <v>2065000</v>
      </c>
      <c r="T88" s="5" t="s">
        <v>317</v>
      </c>
      <c r="U88" s="5" t="s">
        <v>317</v>
      </c>
      <c r="V88" s="5" t="s">
        <v>317</v>
      </c>
      <c r="W88" s="17" t="s">
        <v>1227</v>
      </c>
      <c r="Y88" s="5" t="s">
        <v>317</v>
      </c>
      <c r="Z88" s="5" t="s">
        <v>317</v>
      </c>
      <c r="AA88" s="5" t="s">
        <v>317</v>
      </c>
    </row>
    <row r="89" spans="2:27" x14ac:dyDescent="0.25">
      <c r="G89" s="117" t="s">
        <v>1232</v>
      </c>
      <c r="H89" s="117" t="str">
        <f>IFERROR(INDEX(Tabla10[ID],MATCH(EVAL_ECO[[#This Row],[NOMBRE DEL PROPONENTE]],Tabla10[Alias],0)),"")</f>
        <v>PROP_23</v>
      </c>
      <c r="I89" t="s">
        <v>1256</v>
      </c>
      <c r="J89" t="s">
        <v>1254</v>
      </c>
      <c r="K89" t="s">
        <v>1254</v>
      </c>
      <c r="N89" s="135" t="s">
        <v>1225</v>
      </c>
      <c r="O89" s="22">
        <v>4446265</v>
      </c>
      <c r="P89" s="5" t="s">
        <v>317</v>
      </c>
      <c r="Q89" s="5" t="s">
        <v>317</v>
      </c>
      <c r="R89" s="5" t="s">
        <v>317</v>
      </c>
      <c r="S89" s="22">
        <v>2556260</v>
      </c>
      <c r="T89" s="5" t="s">
        <v>317</v>
      </c>
      <c r="U89" s="5" t="s">
        <v>317</v>
      </c>
      <c r="V89" s="5" t="s">
        <v>317</v>
      </c>
      <c r="W89" s="17" t="s">
        <v>1227</v>
      </c>
      <c r="Y89" s="5" t="s">
        <v>317</v>
      </c>
      <c r="Z89" s="5" t="s">
        <v>317</v>
      </c>
      <c r="AA89" s="5" t="s">
        <v>317</v>
      </c>
    </row>
    <row r="90" spans="2:27" x14ac:dyDescent="0.25">
      <c r="G90" s="117" t="s">
        <v>1232</v>
      </c>
      <c r="H90" s="117" t="str">
        <f>IFERROR(INDEX(Tabla10[ID],MATCH(EVAL_ECO[[#This Row],[NOMBRE DEL PROPONENTE]],Tabla10[Alias],0)),"")</f>
        <v>PROP_27</v>
      </c>
      <c r="I90" t="s">
        <v>200</v>
      </c>
      <c r="J90" t="s">
        <v>1255</v>
      </c>
      <c r="K90" t="s">
        <v>1255</v>
      </c>
      <c r="N90" s="135" t="s">
        <v>1225</v>
      </c>
      <c r="O90" s="22">
        <v>7194724</v>
      </c>
      <c r="P90" s="5" t="s">
        <v>317</v>
      </c>
      <c r="Q90" s="5" t="s">
        <v>317</v>
      </c>
      <c r="R90" s="5" t="s">
        <v>317</v>
      </c>
      <c r="S90" s="22">
        <v>9053520</v>
      </c>
      <c r="T90" s="5" t="s">
        <v>317</v>
      </c>
      <c r="U90" s="5" t="s">
        <v>317</v>
      </c>
      <c r="V90" s="5" t="s">
        <v>317</v>
      </c>
      <c r="W90" s="17" t="s">
        <v>1227</v>
      </c>
      <c r="Y90" s="5" t="s">
        <v>317</v>
      </c>
      <c r="Z90" s="5" t="s">
        <v>317</v>
      </c>
      <c r="AA90" s="5" t="s">
        <v>317</v>
      </c>
    </row>
    <row r="91" spans="2:27" x14ac:dyDescent="0.25">
      <c r="G91" s="117" t="s">
        <v>1232</v>
      </c>
      <c r="H91" s="117" t="str">
        <f>IFERROR(INDEX(Tabla10[ID],MATCH(EVAL_ECO[[#This Row],[NOMBRE DEL PROPONENTE]],Tabla10[Alias],0)),"")</f>
        <v>PROP_23</v>
      </c>
      <c r="I91" t="s">
        <v>1256</v>
      </c>
      <c r="J91" t="s">
        <v>1255</v>
      </c>
      <c r="K91" t="s">
        <v>1255</v>
      </c>
      <c r="N91" s="135" t="s">
        <v>1225</v>
      </c>
      <c r="O91" s="22">
        <v>8102998</v>
      </c>
      <c r="P91" s="5" t="s">
        <v>317</v>
      </c>
      <c r="Q91" s="5" t="s">
        <v>317</v>
      </c>
      <c r="R91" s="5" t="s">
        <v>317</v>
      </c>
      <c r="S91" s="22">
        <v>9053520</v>
      </c>
      <c r="T91" s="5" t="s">
        <v>317</v>
      </c>
      <c r="U91" s="5" t="s">
        <v>317</v>
      </c>
      <c r="V91" s="5" t="s">
        <v>317</v>
      </c>
      <c r="W91" s="17" t="s">
        <v>1227</v>
      </c>
      <c r="Y91" s="5" t="s">
        <v>317</v>
      </c>
      <c r="Z91" s="5" t="s">
        <v>317</v>
      </c>
      <c r="AA91" s="5" t="s">
        <v>317</v>
      </c>
    </row>
    <row r="92" spans="2:27" x14ac:dyDescent="0.25">
      <c r="G92" s="117" t="s">
        <v>1261</v>
      </c>
      <c r="H92" s="117" t="str">
        <f>IFERROR(INDEX(Tabla10[ID],MATCH(EVAL_ECO[[#This Row],[NOMBRE DEL PROPONENTE]],Tabla10[Alias],0)),"")</f>
        <v>PROP_32</v>
      </c>
      <c r="I92" t="s">
        <v>1274</v>
      </c>
      <c r="J92"/>
      <c r="K92">
        <v>0</v>
      </c>
      <c r="N92" t="s">
        <v>1243</v>
      </c>
      <c r="O92" s="22"/>
      <c r="P92" s="5" t="s">
        <v>317</v>
      </c>
      <c r="Q92" s="5" t="s">
        <v>317</v>
      </c>
      <c r="R92" s="5" t="s">
        <v>317</v>
      </c>
      <c r="S92" s="5" t="s">
        <v>317</v>
      </c>
      <c r="T92" s="5" t="s">
        <v>317</v>
      </c>
      <c r="U92" s="5" t="s">
        <v>317</v>
      </c>
      <c r="V92" s="5" t="s">
        <v>317</v>
      </c>
      <c r="W92" s="17"/>
      <c r="Y92" s="5" t="s">
        <v>317</v>
      </c>
      <c r="Z92" s="5" t="s">
        <v>317</v>
      </c>
      <c r="AA92" s="5" t="s">
        <v>317</v>
      </c>
    </row>
    <row r="93" spans="2:27" x14ac:dyDescent="0.25">
      <c r="G93" s="117" t="s">
        <v>1261</v>
      </c>
      <c r="H93" s="117" t="str">
        <f>IFERROR(INDEX(Tabla10[ID],MATCH(EVAL_ECO[[#This Row],[NOMBRE DEL PROPONENTE]],Tabla10[Alias],0)),"")</f>
        <v>PROP_33</v>
      </c>
      <c r="I93" t="s">
        <v>1275</v>
      </c>
      <c r="J93"/>
      <c r="K93">
        <v>0</v>
      </c>
      <c r="N93" t="s">
        <v>1243</v>
      </c>
      <c r="O93" s="22"/>
      <c r="P93" s="5" t="s">
        <v>317</v>
      </c>
      <c r="Q93" s="5" t="s">
        <v>317</v>
      </c>
      <c r="R93" s="5" t="s">
        <v>317</v>
      </c>
      <c r="S93" s="5" t="s">
        <v>317</v>
      </c>
      <c r="T93" s="5" t="s">
        <v>317</v>
      </c>
      <c r="U93" s="5" t="s">
        <v>317</v>
      </c>
      <c r="V93" s="5" t="s">
        <v>317</v>
      </c>
      <c r="W93" s="17"/>
      <c r="Y93" s="5" t="s">
        <v>317</v>
      </c>
      <c r="Z93" s="5" t="s">
        <v>317</v>
      </c>
      <c r="AA93" s="5" t="s">
        <v>317</v>
      </c>
    </row>
    <row r="94" spans="2:27" x14ac:dyDescent="0.25">
      <c r="G94" s="117" t="s">
        <v>1261</v>
      </c>
      <c r="H94" s="117" t="str">
        <f>IFERROR(INDEX(Tabla10[ID],MATCH(EVAL_ECO[[#This Row],[NOMBRE DEL PROPONENTE]],Tabla10[Alias],0)),"")</f>
        <v>PROP_34</v>
      </c>
      <c r="I94" t="s">
        <v>1276</v>
      </c>
      <c r="J94"/>
      <c r="K94">
        <v>0</v>
      </c>
      <c r="N94" t="s">
        <v>1243</v>
      </c>
      <c r="O94" s="22"/>
      <c r="P94" s="5" t="s">
        <v>317</v>
      </c>
      <c r="Q94" s="5" t="s">
        <v>317</v>
      </c>
      <c r="R94" s="5" t="s">
        <v>317</v>
      </c>
      <c r="S94" s="5" t="s">
        <v>317</v>
      </c>
      <c r="T94" s="5" t="s">
        <v>317</v>
      </c>
      <c r="U94" s="5" t="s">
        <v>317</v>
      </c>
      <c r="V94" s="5" t="s">
        <v>317</v>
      </c>
      <c r="W94" s="17"/>
      <c r="Y94" s="5" t="s">
        <v>317</v>
      </c>
      <c r="Z94" s="5" t="s">
        <v>317</v>
      </c>
      <c r="AA94" s="5" t="s">
        <v>317</v>
      </c>
    </row>
    <row r="95" spans="2:27" x14ac:dyDescent="0.25">
      <c r="G95" s="117" t="s">
        <v>1261</v>
      </c>
      <c r="H95" s="117" t="str">
        <f>IFERROR(INDEX(Tabla10[ID],MATCH(EVAL_ECO[[#This Row],[NOMBRE DEL PROPONENTE]],Tabla10[Alias],0)),"")</f>
        <v>PROP_35</v>
      </c>
      <c r="I95" t="s">
        <v>1265</v>
      </c>
      <c r="J95"/>
      <c r="K95">
        <v>0</v>
      </c>
      <c r="N95" t="s">
        <v>1243</v>
      </c>
      <c r="O95" s="22"/>
      <c r="P95" s="5" t="s">
        <v>317</v>
      </c>
      <c r="Q95" s="5" t="s">
        <v>317</v>
      </c>
      <c r="R95" s="5" t="s">
        <v>317</v>
      </c>
      <c r="S95" s="5" t="s">
        <v>317</v>
      </c>
      <c r="T95" s="5" t="s">
        <v>317</v>
      </c>
      <c r="U95" s="5" t="s">
        <v>317</v>
      </c>
      <c r="V95" s="5" t="s">
        <v>317</v>
      </c>
      <c r="W95" s="17"/>
      <c r="Y95" s="5" t="s">
        <v>317</v>
      </c>
      <c r="Z95" s="5" t="s">
        <v>317</v>
      </c>
      <c r="AA95" s="5" t="s">
        <v>317</v>
      </c>
    </row>
    <row r="96" spans="2:27" x14ac:dyDescent="0.25">
      <c r="G96" s="117" t="s">
        <v>1261</v>
      </c>
      <c r="H96" s="117" t="str">
        <f>IFERROR(INDEX(Tabla10[ID],MATCH(EVAL_ECO[[#This Row],[NOMBRE DEL PROPONENTE]],Tabla10[Alias],0)),"")</f>
        <v>PROP_36</v>
      </c>
      <c r="I96" t="s">
        <v>1277</v>
      </c>
      <c r="J96"/>
      <c r="K96">
        <v>0</v>
      </c>
      <c r="N96" t="s">
        <v>1243</v>
      </c>
      <c r="O96" s="22"/>
      <c r="P96" s="5" t="s">
        <v>317</v>
      </c>
      <c r="Q96" s="5" t="s">
        <v>317</v>
      </c>
      <c r="R96" s="5" t="s">
        <v>317</v>
      </c>
      <c r="S96" s="5" t="s">
        <v>317</v>
      </c>
      <c r="T96" s="5" t="s">
        <v>317</v>
      </c>
      <c r="U96" s="5" t="s">
        <v>317</v>
      </c>
      <c r="V96" s="5" t="s">
        <v>317</v>
      </c>
      <c r="W96" s="17"/>
      <c r="Y96" s="5" t="s">
        <v>317</v>
      </c>
      <c r="Z96" s="5" t="s">
        <v>317</v>
      </c>
      <c r="AA96" s="5" t="s">
        <v>317</v>
      </c>
    </row>
    <row r="97" spans="7:27" x14ac:dyDescent="0.25">
      <c r="G97" s="117" t="s">
        <v>1261</v>
      </c>
      <c r="H97" s="117" t="str">
        <f>IFERROR(INDEX(Tabla10[ID],MATCH(EVAL_ECO[[#This Row],[NOMBRE DEL PROPONENTE]],Tabla10[Alias],0)),"")</f>
        <v>PROP_37</v>
      </c>
      <c r="I97" t="s">
        <v>1278</v>
      </c>
      <c r="J97"/>
      <c r="K97">
        <v>0</v>
      </c>
      <c r="N97" t="s">
        <v>1243</v>
      </c>
      <c r="O97" s="22"/>
      <c r="P97" s="5" t="s">
        <v>317</v>
      </c>
      <c r="Q97" s="5" t="s">
        <v>317</v>
      </c>
      <c r="R97" s="5" t="s">
        <v>317</v>
      </c>
      <c r="S97" s="5" t="s">
        <v>317</v>
      </c>
      <c r="T97" s="5" t="s">
        <v>317</v>
      </c>
      <c r="U97" s="5" t="s">
        <v>317</v>
      </c>
      <c r="V97" s="5" t="s">
        <v>317</v>
      </c>
      <c r="W97" s="17"/>
      <c r="Y97" s="5" t="s">
        <v>317</v>
      </c>
      <c r="Z97" s="5" t="s">
        <v>317</v>
      </c>
      <c r="AA97" s="5" t="s">
        <v>317</v>
      </c>
    </row>
    <row r="98" spans="7:27" x14ac:dyDescent="0.25">
      <c r="G98" s="117" t="s">
        <v>1261</v>
      </c>
      <c r="H98" s="117" t="str">
        <f>IFERROR(INDEX(Tabla10[ID],MATCH(EVAL_ECO[[#This Row],[NOMBRE DEL PROPONENTE]],Tabla10[Alias],0)),"")</f>
        <v>PROP_38</v>
      </c>
      <c r="I98" t="s">
        <v>1279</v>
      </c>
      <c r="J98"/>
      <c r="K98">
        <v>0</v>
      </c>
      <c r="N98" t="s">
        <v>1243</v>
      </c>
      <c r="O98" s="22"/>
      <c r="P98" s="5" t="s">
        <v>317</v>
      </c>
      <c r="Q98" s="5" t="s">
        <v>317</v>
      </c>
      <c r="R98" s="5" t="s">
        <v>317</v>
      </c>
      <c r="S98" s="5" t="s">
        <v>317</v>
      </c>
      <c r="T98" s="5" t="s">
        <v>317</v>
      </c>
      <c r="U98" s="5" t="s">
        <v>317</v>
      </c>
      <c r="V98" s="5" t="s">
        <v>317</v>
      </c>
      <c r="W98" s="17"/>
      <c r="Y98" s="5" t="s">
        <v>317</v>
      </c>
      <c r="Z98" s="5" t="s">
        <v>317</v>
      </c>
      <c r="AA98" s="5" t="s">
        <v>317</v>
      </c>
    </row>
    <row r="99" spans="7:27" x14ac:dyDescent="0.25">
      <c r="G99" s="117" t="s">
        <v>1261</v>
      </c>
      <c r="H99" s="117" t="str">
        <f>IFERROR(INDEX(Tabla10[ID],MATCH(EVAL_ECO[[#This Row],[NOMBRE DEL PROPONENTE]],Tabla10[Alias],0)),"")</f>
        <v>PROP_24</v>
      </c>
      <c r="I99" t="s">
        <v>201</v>
      </c>
      <c r="J99"/>
      <c r="K99">
        <v>0</v>
      </c>
      <c r="N99" t="s">
        <v>1243</v>
      </c>
      <c r="O99" s="22"/>
      <c r="P99" s="5" t="s">
        <v>317</v>
      </c>
      <c r="Q99" s="5" t="s">
        <v>317</v>
      </c>
      <c r="R99" s="5" t="s">
        <v>317</v>
      </c>
      <c r="S99" s="5" t="s">
        <v>317</v>
      </c>
      <c r="T99" s="5" t="s">
        <v>317</v>
      </c>
      <c r="U99" s="5" t="s">
        <v>317</v>
      </c>
      <c r="V99" s="5" t="s">
        <v>317</v>
      </c>
      <c r="W99" s="17"/>
      <c r="Y99" s="5" t="s">
        <v>317</v>
      </c>
      <c r="Z99" s="5" t="s">
        <v>317</v>
      </c>
      <c r="AA99" s="5" t="s">
        <v>317</v>
      </c>
    </row>
    <row r="100" spans="7:27" x14ac:dyDescent="0.25">
      <c r="G100" s="117" t="s">
        <v>1261</v>
      </c>
      <c r="H100" s="117" t="str">
        <f>IFERROR(INDEX(Tabla10[ID],MATCH(EVAL_ECO[[#This Row],[NOMBRE DEL PROPONENTE]],Tabla10[Alias],0)),"")</f>
        <v>PROP_37</v>
      </c>
      <c r="I100" t="s">
        <v>1278</v>
      </c>
      <c r="J100" t="s">
        <v>104</v>
      </c>
      <c r="K100" t="s">
        <v>1546</v>
      </c>
      <c r="N100" t="s">
        <v>1225</v>
      </c>
      <c r="O100" s="22">
        <v>17834962</v>
      </c>
      <c r="P100" s="5" t="s">
        <v>317</v>
      </c>
      <c r="Q100" s="5" t="s">
        <v>317</v>
      </c>
      <c r="R100" s="5" t="s">
        <v>317</v>
      </c>
      <c r="S100" s="22">
        <v>20568816</v>
      </c>
      <c r="T100" s="22">
        <v>21597257</v>
      </c>
      <c r="U100" s="5" t="s">
        <v>317</v>
      </c>
      <c r="V100" s="5" t="s">
        <v>317</v>
      </c>
      <c r="W100" s="17" t="s">
        <v>1228</v>
      </c>
      <c r="Y100" s="5" t="s">
        <v>317</v>
      </c>
      <c r="Z100" s="5" t="s">
        <v>317</v>
      </c>
      <c r="AA100" s="5" t="s">
        <v>317</v>
      </c>
    </row>
    <row r="101" spans="7:27" x14ac:dyDescent="0.25">
      <c r="G101" s="117" t="s">
        <v>1261</v>
      </c>
      <c r="H101" s="117" t="str">
        <f>IFERROR(INDEX(Tabla10[ID],MATCH(EVAL_ECO[[#This Row],[NOMBRE DEL PROPONENTE]],Tabla10[Alias],0)),"")</f>
        <v>PROP_10</v>
      </c>
      <c r="I101" t="s">
        <v>1280</v>
      </c>
      <c r="J101" t="s">
        <v>104</v>
      </c>
      <c r="K101" t="s">
        <v>1546</v>
      </c>
      <c r="N101" t="s">
        <v>1225</v>
      </c>
      <c r="O101" s="22">
        <v>29952250</v>
      </c>
      <c r="P101" s="5" t="s">
        <v>317</v>
      </c>
      <c r="Q101" s="5" t="s">
        <v>317</v>
      </c>
      <c r="R101" s="5" t="s">
        <v>317</v>
      </c>
      <c r="S101" s="22">
        <v>20568816</v>
      </c>
      <c r="T101" s="22">
        <v>21597257</v>
      </c>
      <c r="U101" s="5" t="s">
        <v>317</v>
      </c>
      <c r="V101" s="5" t="s">
        <v>317</v>
      </c>
      <c r="W101" s="17" t="s">
        <v>1228</v>
      </c>
      <c r="Y101" s="5" t="s">
        <v>317</v>
      </c>
      <c r="Z101" s="5" t="s">
        <v>317</v>
      </c>
      <c r="AA101" s="5" t="s">
        <v>317</v>
      </c>
    </row>
    <row r="102" spans="7:27" x14ac:dyDescent="0.25">
      <c r="G102" s="117" t="s">
        <v>1261</v>
      </c>
      <c r="H102" s="117" t="str">
        <f>IFERROR(INDEX(Tabla10[ID],MATCH(EVAL_ECO[[#This Row],[NOMBRE DEL PROPONENTE]],Tabla10[Alias],0)),"")</f>
        <v>PROP_39</v>
      </c>
      <c r="I102" t="s">
        <v>1281</v>
      </c>
      <c r="J102" t="s">
        <v>104</v>
      </c>
      <c r="K102" t="s">
        <v>1546</v>
      </c>
      <c r="N102" t="s">
        <v>1225</v>
      </c>
      <c r="O102" s="22">
        <v>18409631</v>
      </c>
      <c r="P102" s="5" t="s">
        <v>317</v>
      </c>
      <c r="Q102" s="5" t="s">
        <v>317</v>
      </c>
      <c r="R102" s="5" t="s">
        <v>317</v>
      </c>
      <c r="S102" s="22">
        <v>20568816</v>
      </c>
      <c r="T102" s="22">
        <v>21597257</v>
      </c>
      <c r="U102" s="5" t="s">
        <v>317</v>
      </c>
      <c r="V102" s="5" t="s">
        <v>317</v>
      </c>
      <c r="W102" s="17" t="s">
        <v>1228</v>
      </c>
      <c r="Y102" s="5" t="s">
        <v>317</v>
      </c>
      <c r="Z102" s="5" t="s">
        <v>317</v>
      </c>
      <c r="AA102" s="5" t="s">
        <v>317</v>
      </c>
    </row>
    <row r="103" spans="7:27" x14ac:dyDescent="0.25">
      <c r="G103" s="117" t="s">
        <v>1261</v>
      </c>
      <c r="H103" s="117" t="str">
        <f>IFERROR(INDEX(Tabla10[ID],MATCH(EVAL_ECO[[#This Row],[NOMBRE DEL PROPONENTE]],Tabla10[Alias],0)),"")</f>
        <v>PROP_37</v>
      </c>
      <c r="I103" t="s">
        <v>1278</v>
      </c>
      <c r="J103" t="s">
        <v>619</v>
      </c>
      <c r="K103" t="s">
        <v>619</v>
      </c>
      <c r="N103" t="s">
        <v>1225</v>
      </c>
      <c r="O103" s="22">
        <v>6620677</v>
      </c>
      <c r="P103" s="5" t="s">
        <v>317</v>
      </c>
      <c r="Q103" s="5" t="s">
        <v>317</v>
      </c>
      <c r="R103" s="5" t="s">
        <v>317</v>
      </c>
      <c r="S103" s="22">
        <v>7266239</v>
      </c>
      <c r="T103" s="22">
        <v>7629551</v>
      </c>
      <c r="U103" s="5" t="s">
        <v>317</v>
      </c>
      <c r="V103" s="5" t="s">
        <v>317</v>
      </c>
      <c r="W103" s="17" t="s">
        <v>1228</v>
      </c>
      <c r="Y103" s="5" t="s">
        <v>317</v>
      </c>
      <c r="Z103" s="5" t="s">
        <v>317</v>
      </c>
      <c r="AA103" s="5" t="s">
        <v>317</v>
      </c>
    </row>
    <row r="104" spans="7:27" x14ac:dyDescent="0.25">
      <c r="G104" s="117" t="s">
        <v>1261</v>
      </c>
      <c r="H104" s="117" t="str">
        <f>IFERROR(INDEX(Tabla10[ID],MATCH(EVAL_ECO[[#This Row],[NOMBRE DEL PROPONENTE]],Tabla10[Alias],0)),"")</f>
        <v>PROP_28</v>
      </c>
      <c r="I104" t="s">
        <v>1282</v>
      </c>
      <c r="J104" t="s">
        <v>619</v>
      </c>
      <c r="K104" t="s">
        <v>619</v>
      </c>
      <c r="N104" t="s">
        <v>1225</v>
      </c>
      <c r="O104" s="22">
        <v>7043583</v>
      </c>
      <c r="P104" s="5" t="s">
        <v>317</v>
      </c>
      <c r="Q104" s="5" t="s">
        <v>317</v>
      </c>
      <c r="R104" s="5" t="s">
        <v>317</v>
      </c>
      <c r="S104" s="22">
        <v>7266239</v>
      </c>
      <c r="T104" s="22">
        <v>7629551</v>
      </c>
      <c r="U104" s="5" t="s">
        <v>317</v>
      </c>
      <c r="V104" s="5" t="s">
        <v>317</v>
      </c>
      <c r="W104" s="17" t="s">
        <v>1228</v>
      </c>
      <c r="Y104" s="5" t="s">
        <v>317</v>
      </c>
      <c r="Z104" s="5" t="s">
        <v>317</v>
      </c>
      <c r="AA104" s="5" t="s">
        <v>317</v>
      </c>
    </row>
    <row r="105" spans="7:27" x14ac:dyDescent="0.25">
      <c r="G105" s="117" t="s">
        <v>1261</v>
      </c>
      <c r="H105" s="117" t="str">
        <f>IFERROR(INDEX(Tabla10[ID],MATCH(EVAL_ECO[[#This Row],[NOMBRE DEL PROPONENTE]],Tabla10[Alias],0)),"")</f>
        <v>PROP_24</v>
      </c>
      <c r="I105" t="s">
        <v>201</v>
      </c>
      <c r="J105" t="s">
        <v>619</v>
      </c>
      <c r="K105" t="s">
        <v>619</v>
      </c>
      <c r="N105" t="s">
        <v>1225</v>
      </c>
      <c r="O105" s="22">
        <v>6428645</v>
      </c>
      <c r="P105" s="5" t="s">
        <v>317</v>
      </c>
      <c r="Q105" s="5" t="s">
        <v>317</v>
      </c>
      <c r="R105" s="5" t="s">
        <v>317</v>
      </c>
      <c r="S105" s="22">
        <v>7266239</v>
      </c>
      <c r="T105" s="22">
        <v>7629551</v>
      </c>
      <c r="U105" s="5" t="s">
        <v>317</v>
      </c>
      <c r="V105" s="5" t="s">
        <v>317</v>
      </c>
      <c r="W105" s="17" t="s">
        <v>1223</v>
      </c>
      <c r="X105" s="22">
        <v>6428645</v>
      </c>
      <c r="Y105" s="5" t="s">
        <v>317</v>
      </c>
      <c r="Z105" s="5" t="s">
        <v>317</v>
      </c>
      <c r="AA105" s="5" t="s">
        <v>317</v>
      </c>
    </row>
    <row r="106" spans="7:27" x14ac:dyDescent="0.25">
      <c r="G106" s="117" t="s">
        <v>1261</v>
      </c>
      <c r="H106" s="117" t="str">
        <f>IFERROR(INDEX(Tabla10[ID],MATCH(EVAL_ECO[[#This Row],[NOMBRE DEL PROPONENTE]],Tabla10[Alias],0)),"")</f>
        <v>PROP_37</v>
      </c>
      <c r="I106" t="s">
        <v>1278</v>
      </c>
      <c r="J106" t="s">
        <v>634</v>
      </c>
      <c r="K106" t="s">
        <v>634</v>
      </c>
      <c r="N106" t="s">
        <v>1225</v>
      </c>
      <c r="O106" s="22">
        <v>11602227</v>
      </c>
      <c r="P106" s="5" t="s">
        <v>317</v>
      </c>
      <c r="Q106" s="5" t="s">
        <v>317</v>
      </c>
      <c r="R106" s="5" t="s">
        <v>317</v>
      </c>
      <c r="S106" s="22">
        <v>13302577</v>
      </c>
      <c r="T106" s="22">
        <v>13967706</v>
      </c>
      <c r="U106" s="5" t="s">
        <v>317</v>
      </c>
      <c r="V106" s="5" t="s">
        <v>317</v>
      </c>
      <c r="W106" s="17" t="s">
        <v>1228</v>
      </c>
      <c r="Y106" s="5" t="s">
        <v>317</v>
      </c>
      <c r="Z106" s="5" t="s">
        <v>317</v>
      </c>
      <c r="AA106" s="5" t="s">
        <v>317</v>
      </c>
    </row>
    <row r="107" spans="7:27" x14ac:dyDescent="0.25">
      <c r="G107" s="117" t="s">
        <v>1261</v>
      </c>
      <c r="H107" s="117" t="str">
        <f>IFERROR(INDEX(Tabla10[ID],MATCH(EVAL_ECO[[#This Row],[NOMBRE DEL PROPONENTE]],Tabla10[Alias],0)),"")</f>
        <v>PROP_28</v>
      </c>
      <c r="I107" t="s">
        <v>1282</v>
      </c>
      <c r="J107" t="s">
        <v>634</v>
      </c>
      <c r="K107" t="s">
        <v>634</v>
      </c>
      <c r="N107" t="s">
        <v>1225</v>
      </c>
      <c r="O107" s="22">
        <v>12831243</v>
      </c>
      <c r="P107" s="5" t="s">
        <v>317</v>
      </c>
      <c r="Q107" s="5" t="s">
        <v>317</v>
      </c>
      <c r="R107" s="5" t="s">
        <v>317</v>
      </c>
      <c r="S107" s="22">
        <v>13302577</v>
      </c>
      <c r="T107" s="22">
        <v>13967706</v>
      </c>
      <c r="U107" s="5" t="s">
        <v>317</v>
      </c>
      <c r="V107" s="5" t="s">
        <v>317</v>
      </c>
      <c r="W107" s="17" t="s">
        <v>1228</v>
      </c>
      <c r="Y107" s="5" t="s">
        <v>317</v>
      </c>
      <c r="Z107" s="5" t="s">
        <v>317</v>
      </c>
      <c r="AA107" s="5" t="s">
        <v>317</v>
      </c>
    </row>
    <row r="108" spans="7:27" x14ac:dyDescent="0.25">
      <c r="G108" s="117" t="s">
        <v>1261</v>
      </c>
      <c r="H108" s="117" t="str">
        <f>IFERROR(INDEX(Tabla10[ID],MATCH(EVAL_ECO[[#This Row],[NOMBRE DEL PROPONENTE]],Tabla10[Alias],0)),"")</f>
        <v>PROP_24</v>
      </c>
      <c r="I108" t="s">
        <v>201</v>
      </c>
      <c r="J108" t="s">
        <v>634</v>
      </c>
      <c r="K108" t="s">
        <v>634</v>
      </c>
      <c r="N108" t="s">
        <v>1225</v>
      </c>
      <c r="O108" s="22">
        <v>10367361</v>
      </c>
      <c r="P108" s="5" t="s">
        <v>317</v>
      </c>
      <c r="Q108" s="5" t="s">
        <v>317</v>
      </c>
      <c r="R108" s="5" t="s">
        <v>317</v>
      </c>
      <c r="S108" s="22">
        <v>13302577</v>
      </c>
      <c r="T108" s="22">
        <v>13967706</v>
      </c>
      <c r="U108" s="5" t="s">
        <v>317</v>
      </c>
      <c r="V108" s="5" t="s">
        <v>317</v>
      </c>
      <c r="W108" s="17" t="s">
        <v>1223</v>
      </c>
      <c r="X108" s="22">
        <v>10367361</v>
      </c>
      <c r="Y108" s="5" t="s">
        <v>317</v>
      </c>
      <c r="Z108" s="5" t="s">
        <v>317</v>
      </c>
      <c r="AA108" s="5" t="s">
        <v>317</v>
      </c>
    </row>
    <row r="109" spans="7:27" x14ac:dyDescent="0.25">
      <c r="G109" s="117" t="s">
        <v>1261</v>
      </c>
      <c r="H109" s="117" t="str">
        <f>IFERROR(INDEX(Tabla10[ID],MATCH(EVAL_ECO[[#This Row],[NOMBRE DEL PROPONENTE]],Tabla10[Alias],0)),"")</f>
        <v>PROP_13</v>
      </c>
      <c r="I109" t="s">
        <v>1283</v>
      </c>
      <c r="J109" t="s">
        <v>634</v>
      </c>
      <c r="K109" t="s">
        <v>634</v>
      </c>
      <c r="N109" t="s">
        <v>1225</v>
      </c>
      <c r="O109" s="22">
        <v>11499532</v>
      </c>
      <c r="P109" s="5" t="s">
        <v>317</v>
      </c>
      <c r="Q109" s="5" t="s">
        <v>317</v>
      </c>
      <c r="R109" s="5" t="s">
        <v>317</v>
      </c>
      <c r="S109" s="22">
        <v>13302577</v>
      </c>
      <c r="T109" s="22">
        <v>13967706</v>
      </c>
      <c r="U109" s="5" t="s">
        <v>317</v>
      </c>
      <c r="V109" s="5" t="s">
        <v>317</v>
      </c>
      <c r="W109" s="17" t="s">
        <v>1228</v>
      </c>
      <c r="Y109" s="5" t="s">
        <v>317</v>
      </c>
      <c r="Z109" s="5" t="s">
        <v>317</v>
      </c>
      <c r="AA109" s="5" t="s">
        <v>317</v>
      </c>
    </row>
    <row r="110" spans="7:27" x14ac:dyDescent="0.25">
      <c r="G110" s="117" t="s">
        <v>1261</v>
      </c>
      <c r="H110" s="117" t="str">
        <f>IFERROR(INDEX(Tabla10[ID],MATCH(EVAL_ECO[[#This Row],[NOMBRE DEL PROPONENTE]],Tabla10[Alias],0)),"")</f>
        <v>PROP_01</v>
      </c>
      <c r="I110" t="s">
        <v>1264</v>
      </c>
      <c r="J110" t="s">
        <v>105</v>
      </c>
      <c r="K110" t="s">
        <v>1547</v>
      </c>
      <c r="N110" t="s">
        <v>1225</v>
      </c>
      <c r="O110" s="22">
        <v>4893935</v>
      </c>
      <c r="P110" s="5" t="s">
        <v>317</v>
      </c>
      <c r="Q110" s="5" t="s">
        <v>317</v>
      </c>
      <c r="R110" s="5" t="s">
        <v>317</v>
      </c>
      <c r="S110" s="22">
        <v>3433297</v>
      </c>
      <c r="T110" s="22">
        <v>3776627</v>
      </c>
      <c r="U110" s="5" t="s">
        <v>317</v>
      </c>
      <c r="V110" s="5" t="s">
        <v>317</v>
      </c>
      <c r="W110" s="17" t="s">
        <v>1228</v>
      </c>
      <c r="Y110" s="5" t="s">
        <v>317</v>
      </c>
      <c r="Z110" s="5" t="s">
        <v>317</v>
      </c>
      <c r="AA110" s="5" t="s">
        <v>317</v>
      </c>
    </row>
    <row r="111" spans="7:27" x14ac:dyDescent="0.25">
      <c r="G111" s="117" t="s">
        <v>1261</v>
      </c>
      <c r="H111" s="117" t="str">
        <f>IFERROR(INDEX(Tabla10[ID],MATCH(EVAL_ECO[[#This Row],[NOMBRE DEL PROPONENTE]],Tabla10[Alias],0)),"")</f>
        <v>PROP_02</v>
      </c>
      <c r="I111" t="s">
        <v>160</v>
      </c>
      <c r="J111" t="s">
        <v>105</v>
      </c>
      <c r="K111" t="s">
        <v>1547</v>
      </c>
      <c r="N111" t="s">
        <v>1225</v>
      </c>
      <c r="O111" s="22">
        <v>3941178</v>
      </c>
      <c r="P111" s="5" t="s">
        <v>317</v>
      </c>
      <c r="Q111" s="5" t="s">
        <v>317</v>
      </c>
      <c r="R111" s="5" t="s">
        <v>317</v>
      </c>
      <c r="S111" s="22">
        <v>3433297</v>
      </c>
      <c r="T111" s="22">
        <v>3776627</v>
      </c>
      <c r="U111" s="5" t="s">
        <v>317</v>
      </c>
      <c r="V111" s="5" t="s">
        <v>317</v>
      </c>
      <c r="W111" s="17" t="s">
        <v>1228</v>
      </c>
      <c r="Y111" s="5" t="s">
        <v>317</v>
      </c>
      <c r="Z111" s="5" t="s">
        <v>317</v>
      </c>
      <c r="AA111" s="5" t="s">
        <v>317</v>
      </c>
    </row>
    <row r="112" spans="7:27" x14ac:dyDescent="0.25">
      <c r="G112" s="117" t="s">
        <v>1261</v>
      </c>
      <c r="H112" s="117" t="str">
        <f>IFERROR(INDEX(Tabla10[ID],MATCH(EVAL_ECO[[#This Row],[NOMBRE DEL PROPONENTE]],Tabla10[Alias],0)),"")</f>
        <v>PROP_10</v>
      </c>
      <c r="I112" t="s">
        <v>1280</v>
      </c>
      <c r="J112" t="s">
        <v>105</v>
      </c>
      <c r="K112" t="s">
        <v>1547</v>
      </c>
      <c r="N112" t="s">
        <v>1225</v>
      </c>
      <c r="O112" s="22">
        <v>5360000</v>
      </c>
      <c r="P112" s="5" t="s">
        <v>317</v>
      </c>
      <c r="Q112" s="5" t="s">
        <v>317</v>
      </c>
      <c r="R112" s="5" t="s">
        <v>317</v>
      </c>
      <c r="S112" s="22">
        <v>3433297</v>
      </c>
      <c r="T112" s="22">
        <v>3776627</v>
      </c>
      <c r="U112" s="5" t="s">
        <v>317</v>
      </c>
      <c r="V112" s="5" t="s">
        <v>317</v>
      </c>
      <c r="W112" s="17" t="s">
        <v>1228</v>
      </c>
      <c r="Y112" s="5" t="s">
        <v>317</v>
      </c>
      <c r="Z112" s="5" t="s">
        <v>317</v>
      </c>
      <c r="AA112" s="5" t="s">
        <v>317</v>
      </c>
    </row>
    <row r="113" spans="7:27" x14ac:dyDescent="0.25">
      <c r="G113" s="117" t="s">
        <v>1261</v>
      </c>
      <c r="H113" s="117" t="str">
        <f>IFERROR(INDEX(Tabla10[ID],MATCH(EVAL_ECO[[#This Row],[NOMBRE DEL PROPONENTE]],Tabla10[Alias],0)),"")</f>
        <v>PROP_13</v>
      </c>
      <c r="I113" t="s">
        <v>1283</v>
      </c>
      <c r="J113" t="s">
        <v>105</v>
      </c>
      <c r="K113" t="s">
        <v>1547</v>
      </c>
      <c r="N113" t="s">
        <v>1225</v>
      </c>
      <c r="O113" s="22">
        <v>4638017</v>
      </c>
      <c r="P113" s="5" t="s">
        <v>317</v>
      </c>
      <c r="Q113" s="5" t="s">
        <v>317</v>
      </c>
      <c r="R113" s="5" t="s">
        <v>317</v>
      </c>
      <c r="S113" s="22">
        <v>3433297</v>
      </c>
      <c r="T113" s="22">
        <v>3776627</v>
      </c>
      <c r="U113" s="5" t="s">
        <v>317</v>
      </c>
      <c r="V113" s="5" t="s">
        <v>317</v>
      </c>
      <c r="W113" s="17" t="s">
        <v>1228</v>
      </c>
      <c r="Y113" s="5" t="s">
        <v>317</v>
      </c>
      <c r="Z113" s="5" t="s">
        <v>317</v>
      </c>
      <c r="AA113" s="5" t="s">
        <v>317</v>
      </c>
    </row>
    <row r="114" spans="7:27" x14ac:dyDescent="0.25">
      <c r="G114" s="117" t="s">
        <v>1261</v>
      </c>
      <c r="H114" s="117" t="str">
        <f>IFERROR(INDEX(Tabla10[ID],MATCH(EVAL_ECO[[#This Row],[NOMBRE DEL PROPONENTE]],Tabla10[Alias],0)),"")</f>
        <v>PROP_18</v>
      </c>
      <c r="I114" t="s">
        <v>175</v>
      </c>
      <c r="J114" t="s">
        <v>105</v>
      </c>
      <c r="K114" t="s">
        <v>1547</v>
      </c>
      <c r="N114" t="s">
        <v>1225</v>
      </c>
      <c r="O114" s="22">
        <v>4065302</v>
      </c>
      <c r="P114" s="5" t="s">
        <v>317</v>
      </c>
      <c r="Q114" s="5" t="s">
        <v>317</v>
      </c>
      <c r="R114" s="5" t="s">
        <v>317</v>
      </c>
      <c r="S114" s="22">
        <v>3433297</v>
      </c>
      <c r="T114" s="22">
        <v>3776627</v>
      </c>
      <c r="U114" s="5" t="s">
        <v>317</v>
      </c>
      <c r="V114" s="5" t="s">
        <v>317</v>
      </c>
      <c r="W114" s="17" t="s">
        <v>1228</v>
      </c>
      <c r="Y114" s="5" t="s">
        <v>317</v>
      </c>
      <c r="Z114" s="5" t="s">
        <v>317</v>
      </c>
      <c r="AA114" s="5" t="s">
        <v>317</v>
      </c>
    </row>
    <row r="115" spans="7:27" x14ac:dyDescent="0.25">
      <c r="G115" s="117" t="s">
        <v>1261</v>
      </c>
      <c r="H115" s="117" t="str">
        <f>IFERROR(INDEX(Tabla10[ID],MATCH(EVAL_ECO[[#This Row],[NOMBRE DEL PROPONENTE]],Tabla10[Alias],0)),"")</f>
        <v>PROP_17</v>
      </c>
      <c r="I115" t="s">
        <v>174</v>
      </c>
      <c r="J115" t="s">
        <v>106</v>
      </c>
      <c r="K115" t="s">
        <v>1548</v>
      </c>
      <c r="N115" t="s">
        <v>1225</v>
      </c>
      <c r="O115" s="22">
        <v>15438177</v>
      </c>
      <c r="P115" s="5" t="s">
        <v>317</v>
      </c>
      <c r="Q115" s="5" t="s">
        <v>317</v>
      </c>
      <c r="R115" s="5" t="s">
        <v>317</v>
      </c>
      <c r="S115" s="22">
        <v>15835504</v>
      </c>
      <c r="T115" s="22">
        <v>16627279</v>
      </c>
      <c r="U115" s="5" t="s">
        <v>317</v>
      </c>
      <c r="V115" s="5" t="s">
        <v>317</v>
      </c>
      <c r="W115" s="17" t="s">
        <v>1223</v>
      </c>
      <c r="X115" s="22">
        <v>15438177</v>
      </c>
      <c r="Y115" s="5" t="s">
        <v>317</v>
      </c>
      <c r="Z115" s="5" t="s">
        <v>317</v>
      </c>
      <c r="AA115" s="5" t="s">
        <v>317</v>
      </c>
    </row>
    <row r="116" spans="7:27" x14ac:dyDescent="0.25">
      <c r="G116" s="117" t="s">
        <v>1261</v>
      </c>
      <c r="H116" s="117" t="str">
        <f>IFERROR(INDEX(Tabla10[ID],MATCH(EVAL_ECO[[#This Row],[NOMBRE DEL PROPONENTE]],Tabla10[Alias],0)),"")</f>
        <v>PROP_40</v>
      </c>
      <c r="I116" t="s">
        <v>1284</v>
      </c>
      <c r="J116" t="s">
        <v>116</v>
      </c>
      <c r="K116" t="s">
        <v>1536</v>
      </c>
      <c r="N116" t="s">
        <v>1225</v>
      </c>
      <c r="O116" s="22">
        <v>5289999</v>
      </c>
      <c r="P116" s="5" t="s">
        <v>317</v>
      </c>
      <c r="Q116" s="5" t="s">
        <v>317</v>
      </c>
      <c r="R116" s="5" t="s">
        <v>317</v>
      </c>
      <c r="S116" s="22">
        <v>5993714</v>
      </c>
      <c r="T116" s="22">
        <v>6293400</v>
      </c>
      <c r="U116" s="5" t="s">
        <v>317</v>
      </c>
      <c r="V116" s="5" t="s">
        <v>317</v>
      </c>
      <c r="W116" s="17" t="s">
        <v>1228</v>
      </c>
      <c r="Y116" s="5" t="s">
        <v>317</v>
      </c>
      <c r="Z116" s="5" t="s">
        <v>317</v>
      </c>
      <c r="AA116" s="5" t="s">
        <v>317</v>
      </c>
    </row>
    <row r="117" spans="7:27" x14ac:dyDescent="0.25">
      <c r="G117" s="117" t="s">
        <v>1261</v>
      </c>
      <c r="H117" s="117" t="str">
        <f>IFERROR(INDEX(Tabla10[ID],MATCH(EVAL_ECO[[#This Row],[NOMBRE DEL PROPONENTE]],Tabla10[Alias],0)),"")</f>
        <v>PROP_40</v>
      </c>
      <c r="I117" t="s">
        <v>1284</v>
      </c>
      <c r="J117" t="s">
        <v>659</v>
      </c>
      <c r="K117" t="s">
        <v>659</v>
      </c>
      <c r="N117" t="s">
        <v>1225</v>
      </c>
      <c r="O117" s="22">
        <v>4789999</v>
      </c>
      <c r="P117" s="5" t="s">
        <v>317</v>
      </c>
      <c r="Q117" s="5" t="s">
        <v>317</v>
      </c>
      <c r="R117" s="5" t="s">
        <v>317</v>
      </c>
      <c r="S117" s="22">
        <v>2837784</v>
      </c>
      <c r="T117" s="22">
        <v>3121562</v>
      </c>
      <c r="U117" s="5" t="s">
        <v>317</v>
      </c>
      <c r="V117" s="5" t="s">
        <v>317</v>
      </c>
      <c r="W117" s="17" t="s">
        <v>1228</v>
      </c>
      <c r="Y117" s="5" t="s">
        <v>317</v>
      </c>
      <c r="Z117" s="5" t="s">
        <v>317</v>
      </c>
      <c r="AA117" s="5" t="s">
        <v>317</v>
      </c>
    </row>
    <row r="118" spans="7:27" x14ac:dyDescent="0.25">
      <c r="G118" s="117" t="s">
        <v>1261</v>
      </c>
      <c r="H118" s="117" t="str">
        <f>IFERROR(INDEX(Tabla10[ID],MATCH(EVAL_ECO[[#This Row],[NOMBRE DEL PROPONENTE]],Tabla10[Alias],0)),"")</f>
        <v>PROP_10</v>
      </c>
      <c r="I118" t="s">
        <v>1280</v>
      </c>
      <c r="J118" t="s">
        <v>659</v>
      </c>
      <c r="K118" t="s">
        <v>659</v>
      </c>
      <c r="N118" t="s">
        <v>1225</v>
      </c>
      <c r="O118" s="22">
        <v>5970336</v>
      </c>
      <c r="P118" s="5" t="s">
        <v>317</v>
      </c>
      <c r="Q118" s="5" t="s">
        <v>317</v>
      </c>
      <c r="R118" s="5" t="s">
        <v>317</v>
      </c>
      <c r="S118" s="22">
        <v>2837784</v>
      </c>
      <c r="T118" s="22">
        <v>3121562</v>
      </c>
      <c r="U118" s="5" t="s">
        <v>317</v>
      </c>
      <c r="V118" s="5" t="s">
        <v>317</v>
      </c>
      <c r="W118" s="17" t="s">
        <v>1228</v>
      </c>
      <c r="Y118" s="5" t="s">
        <v>317</v>
      </c>
      <c r="Z118" s="5" t="s">
        <v>317</v>
      </c>
      <c r="AA118" s="5" t="s">
        <v>317</v>
      </c>
    </row>
    <row r="119" spans="7:27" x14ac:dyDescent="0.25">
      <c r="G119" s="117" t="s">
        <v>1261</v>
      </c>
      <c r="H119" s="117" t="str">
        <f>IFERROR(INDEX(Tabla10[ID],MATCH(EVAL_ECO[[#This Row],[NOMBRE DEL PROPONENTE]],Tabla10[Alias],0)),"")</f>
        <v>PROP_02</v>
      </c>
      <c r="I119" t="s">
        <v>160</v>
      </c>
      <c r="J119" t="s">
        <v>107</v>
      </c>
      <c r="K119" t="s">
        <v>1549</v>
      </c>
      <c r="N119" t="s">
        <v>1225</v>
      </c>
      <c r="O119" s="22">
        <v>6183182</v>
      </c>
      <c r="P119" s="5" t="s">
        <v>317</v>
      </c>
      <c r="Q119" s="5" t="s">
        <v>317</v>
      </c>
      <c r="R119" s="5" t="s">
        <v>317</v>
      </c>
      <c r="S119" s="22">
        <v>7197350</v>
      </c>
      <c r="T119" s="22">
        <v>7557218</v>
      </c>
      <c r="U119" s="5" t="s">
        <v>317</v>
      </c>
      <c r="V119" s="5" t="s">
        <v>317</v>
      </c>
      <c r="W119" s="17" t="s">
        <v>1228</v>
      </c>
      <c r="Y119" s="5" t="s">
        <v>317</v>
      </c>
      <c r="Z119" s="5" t="s">
        <v>317</v>
      </c>
      <c r="AA119" s="5" t="s">
        <v>317</v>
      </c>
    </row>
    <row r="120" spans="7:27" x14ac:dyDescent="0.25">
      <c r="G120" s="117" t="s">
        <v>1261</v>
      </c>
      <c r="H120" s="117" t="str">
        <f>IFERROR(INDEX(Tabla10[ID],MATCH(EVAL_ECO[[#This Row],[NOMBRE DEL PROPONENTE]],Tabla10[Alias],0)),"")</f>
        <v>PROP_37</v>
      </c>
      <c r="I120" t="s">
        <v>1278</v>
      </c>
      <c r="J120" t="s">
        <v>107</v>
      </c>
      <c r="K120" t="s">
        <v>1549</v>
      </c>
      <c r="N120" t="s">
        <v>1225</v>
      </c>
      <c r="O120" s="22">
        <v>4708356</v>
      </c>
      <c r="P120" s="5" t="s">
        <v>317</v>
      </c>
      <c r="Q120" s="5" t="s">
        <v>317</v>
      </c>
      <c r="R120" s="5" t="s">
        <v>317</v>
      </c>
      <c r="S120" s="22">
        <v>7197350</v>
      </c>
      <c r="T120" s="22">
        <v>7557218</v>
      </c>
      <c r="U120" s="5" t="s">
        <v>317</v>
      </c>
      <c r="V120" s="5" t="s">
        <v>317</v>
      </c>
      <c r="W120" s="17" t="s">
        <v>1223</v>
      </c>
      <c r="X120" s="22">
        <v>4708356</v>
      </c>
      <c r="Y120" s="5" t="s">
        <v>317</v>
      </c>
      <c r="Z120" s="5" t="s">
        <v>317</v>
      </c>
      <c r="AA120" s="5" t="s">
        <v>317</v>
      </c>
    </row>
    <row r="121" spans="7:27" x14ac:dyDescent="0.25">
      <c r="G121" s="117" t="s">
        <v>1261</v>
      </c>
      <c r="H121" s="117" t="str">
        <f>IFERROR(INDEX(Tabla10[ID],MATCH(EVAL_ECO[[#This Row],[NOMBRE DEL PROPONENTE]],Tabla10[Alias],0)),"")</f>
        <v>PROP_28</v>
      </c>
      <c r="I121" t="s">
        <v>1282</v>
      </c>
      <c r="J121" t="s">
        <v>107</v>
      </c>
      <c r="K121" t="s">
        <v>1549</v>
      </c>
      <c r="N121" t="s">
        <v>1225</v>
      </c>
      <c r="O121" s="22">
        <v>5701153</v>
      </c>
      <c r="P121" s="5" t="s">
        <v>317</v>
      </c>
      <c r="Q121" s="5" t="s">
        <v>317</v>
      </c>
      <c r="R121" s="5" t="s">
        <v>317</v>
      </c>
      <c r="S121" s="22">
        <v>7197350</v>
      </c>
      <c r="T121" s="22">
        <v>7557218</v>
      </c>
      <c r="U121" s="5" t="s">
        <v>317</v>
      </c>
      <c r="V121" s="5" t="s">
        <v>317</v>
      </c>
      <c r="W121" s="17" t="s">
        <v>1228</v>
      </c>
      <c r="Y121" s="5" t="s">
        <v>317</v>
      </c>
      <c r="Z121" s="5" t="s">
        <v>317</v>
      </c>
      <c r="AA121" s="5" t="s">
        <v>317</v>
      </c>
    </row>
    <row r="122" spans="7:27" x14ac:dyDescent="0.25">
      <c r="G122" s="117" t="s">
        <v>1261</v>
      </c>
      <c r="H122" s="117" t="str">
        <f>IFERROR(INDEX(Tabla10[ID],MATCH(EVAL_ECO[[#This Row],[NOMBRE DEL PROPONENTE]],Tabla10[Alias],0)),"")</f>
        <v>PROP_10</v>
      </c>
      <c r="I122" t="s">
        <v>1280</v>
      </c>
      <c r="J122" t="s">
        <v>107</v>
      </c>
      <c r="K122" t="s">
        <v>1549</v>
      </c>
      <c r="N122" t="s">
        <v>1225</v>
      </c>
      <c r="O122" s="22">
        <v>7802000</v>
      </c>
      <c r="P122" s="5" t="s">
        <v>317</v>
      </c>
      <c r="Q122" s="5" t="s">
        <v>317</v>
      </c>
      <c r="R122" s="5" t="s">
        <v>317</v>
      </c>
      <c r="S122" s="22">
        <v>7197350</v>
      </c>
      <c r="T122" s="22">
        <v>7557218</v>
      </c>
      <c r="U122" s="5" t="s">
        <v>317</v>
      </c>
      <c r="V122" s="5" t="s">
        <v>317</v>
      </c>
      <c r="W122" s="17" t="s">
        <v>1228</v>
      </c>
      <c r="Y122" s="5" t="s">
        <v>317</v>
      </c>
      <c r="Z122" s="5" t="s">
        <v>317</v>
      </c>
      <c r="AA122" s="5" t="s">
        <v>317</v>
      </c>
    </row>
    <row r="123" spans="7:27" x14ac:dyDescent="0.25">
      <c r="G123" s="117" t="s">
        <v>1261</v>
      </c>
      <c r="H123" s="117" t="str">
        <f>IFERROR(INDEX(Tabla10[ID],MATCH(EVAL_ECO[[#This Row],[NOMBRE DEL PROPONENTE]],Tabla10[Alias],0)),"")</f>
        <v>PROP_48</v>
      </c>
      <c r="I123" t="s">
        <v>1242</v>
      </c>
      <c r="J123" t="s">
        <v>107</v>
      </c>
      <c r="K123" t="s">
        <v>1549</v>
      </c>
      <c r="N123" t="s">
        <v>1225</v>
      </c>
      <c r="O123" s="22">
        <v>5476434</v>
      </c>
      <c r="P123" s="5" t="s">
        <v>317</v>
      </c>
      <c r="Q123" s="5" t="s">
        <v>317</v>
      </c>
      <c r="R123" s="5" t="s">
        <v>317</v>
      </c>
      <c r="S123" s="22">
        <v>7197350</v>
      </c>
      <c r="T123" s="22">
        <v>7557218</v>
      </c>
      <c r="U123" s="5" t="s">
        <v>317</v>
      </c>
      <c r="V123" s="5" t="s">
        <v>317</v>
      </c>
      <c r="W123" s="17" t="s">
        <v>1228</v>
      </c>
      <c r="Y123" s="5" t="s">
        <v>317</v>
      </c>
      <c r="Z123" s="5" t="s">
        <v>317</v>
      </c>
      <c r="AA123" s="5" t="s">
        <v>317</v>
      </c>
    </row>
    <row r="124" spans="7:27" x14ac:dyDescent="0.25">
      <c r="G124" s="117" t="s">
        <v>1261</v>
      </c>
      <c r="H124" s="117" t="str">
        <f>IFERROR(INDEX(Tabla10[ID],MATCH(EVAL_ECO[[#This Row],[NOMBRE DEL PROPONENTE]],Tabla10[Alias],0)),"")</f>
        <v>PROP_01</v>
      </c>
      <c r="I124" t="s">
        <v>1264</v>
      </c>
      <c r="J124" t="s">
        <v>109</v>
      </c>
      <c r="K124" t="s">
        <v>1550</v>
      </c>
      <c r="N124" t="s">
        <v>1225</v>
      </c>
      <c r="O124" s="22">
        <v>10788913</v>
      </c>
      <c r="P124" s="5" t="s">
        <v>317</v>
      </c>
      <c r="Q124" s="5" t="s">
        <v>317</v>
      </c>
      <c r="R124" s="5" t="s">
        <v>317</v>
      </c>
      <c r="S124" s="22">
        <v>10026727</v>
      </c>
      <c r="T124" s="22">
        <v>10528063</v>
      </c>
      <c r="U124" s="5" t="s">
        <v>317</v>
      </c>
      <c r="V124" s="5" t="s">
        <v>317</v>
      </c>
      <c r="W124" s="17" t="s">
        <v>1228</v>
      </c>
      <c r="Y124" s="5" t="s">
        <v>317</v>
      </c>
      <c r="Z124" s="5" t="s">
        <v>317</v>
      </c>
      <c r="AA124" s="5" t="s">
        <v>317</v>
      </c>
    </row>
    <row r="125" spans="7:27" x14ac:dyDescent="0.25">
      <c r="G125" s="117" t="s">
        <v>1261</v>
      </c>
      <c r="H125" s="117" t="str">
        <f>IFERROR(INDEX(Tabla10[ID],MATCH(EVAL_ECO[[#This Row],[NOMBRE DEL PROPONENTE]],Tabla10[Alias],0)),"")</f>
        <v>PROP_37</v>
      </c>
      <c r="I125" t="s">
        <v>1278</v>
      </c>
      <c r="J125" t="s">
        <v>673</v>
      </c>
      <c r="K125" t="s">
        <v>673</v>
      </c>
      <c r="N125" t="s">
        <v>1225</v>
      </c>
      <c r="O125" s="22">
        <v>3271647</v>
      </c>
      <c r="P125" s="5" t="s">
        <v>317</v>
      </c>
      <c r="Q125" s="5" t="s">
        <v>317</v>
      </c>
      <c r="R125" s="5" t="s">
        <v>317</v>
      </c>
      <c r="S125" s="22">
        <v>4015667</v>
      </c>
      <c r="T125" s="22">
        <v>4216450</v>
      </c>
      <c r="U125" s="5" t="s">
        <v>317</v>
      </c>
      <c r="V125" s="5" t="s">
        <v>317</v>
      </c>
      <c r="W125" s="17" t="s">
        <v>1223</v>
      </c>
      <c r="X125" s="22">
        <v>3271647</v>
      </c>
      <c r="Y125" s="5" t="s">
        <v>317</v>
      </c>
      <c r="Z125" s="5" t="s">
        <v>317</v>
      </c>
      <c r="AA125" s="5" t="s">
        <v>317</v>
      </c>
    </row>
    <row r="126" spans="7:27" x14ac:dyDescent="0.25">
      <c r="G126" s="117" t="s">
        <v>1261</v>
      </c>
      <c r="H126" s="117" t="str">
        <f>IFERROR(INDEX(Tabla10[ID],MATCH(EVAL_ECO[[#This Row],[NOMBRE DEL PROPONENTE]],Tabla10[Alias],0)),"")</f>
        <v>PROP_01</v>
      </c>
      <c r="I126" t="s">
        <v>1264</v>
      </c>
      <c r="J126" t="s">
        <v>108</v>
      </c>
      <c r="K126" t="s">
        <v>1551</v>
      </c>
      <c r="N126" t="s">
        <v>1225</v>
      </c>
      <c r="O126" s="22">
        <v>6436753</v>
      </c>
      <c r="P126" s="5" t="s">
        <v>317</v>
      </c>
      <c r="Q126" s="5" t="s">
        <v>317</v>
      </c>
      <c r="R126" s="5" t="s">
        <v>317</v>
      </c>
      <c r="S126" s="22">
        <v>3569898</v>
      </c>
      <c r="T126" s="22">
        <v>3926888</v>
      </c>
      <c r="U126" s="5" t="s">
        <v>317</v>
      </c>
      <c r="V126" s="5" t="s">
        <v>317</v>
      </c>
      <c r="W126" s="17" t="s">
        <v>1228</v>
      </c>
      <c r="Y126" s="5" t="s">
        <v>317</v>
      </c>
      <c r="Z126" s="5" t="s">
        <v>317</v>
      </c>
      <c r="AA126" s="5" t="s">
        <v>317</v>
      </c>
    </row>
    <row r="127" spans="7:27" x14ac:dyDescent="0.25">
      <c r="G127" s="117" t="s">
        <v>1261</v>
      </c>
      <c r="H127" s="117" t="str">
        <f>IFERROR(INDEX(Tabla10[ID],MATCH(EVAL_ECO[[#This Row],[NOMBRE DEL PROPONENTE]],Tabla10[Alias],0)),"")</f>
        <v>PROP_18</v>
      </c>
      <c r="I127" t="s">
        <v>175</v>
      </c>
      <c r="J127" t="s">
        <v>108</v>
      </c>
      <c r="K127" t="s">
        <v>1551</v>
      </c>
      <c r="N127" t="s">
        <v>1225</v>
      </c>
      <c r="O127" s="22">
        <v>4429315</v>
      </c>
      <c r="P127" s="5" t="s">
        <v>317</v>
      </c>
      <c r="Q127" s="5" t="s">
        <v>317</v>
      </c>
      <c r="R127" s="5" t="s">
        <v>317</v>
      </c>
      <c r="S127" s="22">
        <v>3569898</v>
      </c>
      <c r="T127" s="22">
        <v>3926888</v>
      </c>
      <c r="U127" s="5" t="s">
        <v>317</v>
      </c>
      <c r="V127" s="5" t="s">
        <v>317</v>
      </c>
      <c r="W127" s="17" t="s">
        <v>1228</v>
      </c>
      <c r="Y127" s="5" t="s">
        <v>317</v>
      </c>
      <c r="Z127" s="5" t="s">
        <v>317</v>
      </c>
      <c r="AA127" s="5" t="s">
        <v>317</v>
      </c>
    </row>
    <row r="128" spans="7:27" x14ac:dyDescent="0.25">
      <c r="G128" s="117" t="s">
        <v>1261</v>
      </c>
      <c r="H128" s="117" t="str">
        <f>IFERROR(INDEX(Tabla10[ID],MATCH(EVAL_ECO[[#This Row],[NOMBRE DEL PROPONENTE]],Tabla10[Alias],0)),"")</f>
        <v>PROP_01</v>
      </c>
      <c r="I128" t="s">
        <v>1264</v>
      </c>
      <c r="J128" t="s">
        <v>110</v>
      </c>
      <c r="K128" t="s">
        <v>1552</v>
      </c>
      <c r="N128" t="s">
        <v>1225</v>
      </c>
      <c r="O128" s="22">
        <v>13835486</v>
      </c>
      <c r="P128" s="5" t="s">
        <v>317</v>
      </c>
      <c r="Q128" s="5" t="s">
        <v>317</v>
      </c>
      <c r="R128" s="5" t="s">
        <v>317</v>
      </c>
      <c r="S128" s="22">
        <v>10011121</v>
      </c>
      <c r="T128" s="22">
        <v>10511677</v>
      </c>
      <c r="U128" s="5" t="s">
        <v>317</v>
      </c>
      <c r="V128" s="5" t="s">
        <v>317</v>
      </c>
      <c r="W128" s="17" t="s">
        <v>1228</v>
      </c>
      <c r="Y128" s="5" t="s">
        <v>317</v>
      </c>
      <c r="Z128" s="5" t="s">
        <v>317</v>
      </c>
      <c r="AA128" s="5" t="s">
        <v>317</v>
      </c>
    </row>
    <row r="129" spans="7:27" x14ac:dyDescent="0.25">
      <c r="G129" s="117" t="s">
        <v>1261</v>
      </c>
      <c r="H129" s="117" t="str">
        <f>IFERROR(INDEX(Tabla10[ID],MATCH(EVAL_ECO[[#This Row],[NOMBRE DEL PROPONENTE]],Tabla10[Alias],0)),"")</f>
        <v>PROP_37</v>
      </c>
      <c r="I129" t="s">
        <v>1278</v>
      </c>
      <c r="J129" t="s">
        <v>110</v>
      </c>
      <c r="K129" t="s">
        <v>1552</v>
      </c>
      <c r="N129" t="s">
        <v>1225</v>
      </c>
      <c r="O129" s="22">
        <v>10536760</v>
      </c>
      <c r="P129" s="5" t="s">
        <v>317</v>
      </c>
      <c r="Q129" s="5" t="s">
        <v>317</v>
      </c>
      <c r="R129" s="5" t="s">
        <v>317</v>
      </c>
      <c r="S129" s="22">
        <v>10011121</v>
      </c>
      <c r="T129" s="22">
        <v>10511677</v>
      </c>
      <c r="U129" s="5" t="s">
        <v>317</v>
      </c>
      <c r="V129" s="5" t="s">
        <v>317</v>
      </c>
      <c r="W129" s="17" t="s">
        <v>1228</v>
      </c>
      <c r="Y129" s="5" t="s">
        <v>317</v>
      </c>
      <c r="Z129" s="5" t="s">
        <v>317</v>
      </c>
      <c r="AA129" s="5" t="s">
        <v>317</v>
      </c>
    </row>
    <row r="130" spans="7:27" x14ac:dyDescent="0.25">
      <c r="G130" s="117" t="s">
        <v>1261</v>
      </c>
      <c r="H130" s="117" t="str">
        <f>IFERROR(INDEX(Tabla10[ID],MATCH(EVAL_ECO[[#This Row],[NOMBRE DEL PROPONENTE]],Tabla10[Alias],0)),"")</f>
        <v>PROP_37</v>
      </c>
      <c r="I130" t="s">
        <v>1278</v>
      </c>
      <c r="J130" t="s">
        <v>120</v>
      </c>
      <c r="K130" t="s">
        <v>1537</v>
      </c>
      <c r="N130" t="s">
        <v>1225</v>
      </c>
      <c r="O130" s="22">
        <v>6900951</v>
      </c>
      <c r="P130" s="5" t="s">
        <v>317</v>
      </c>
      <c r="Q130" s="5" t="s">
        <v>317</v>
      </c>
      <c r="R130" s="5" t="s">
        <v>317</v>
      </c>
      <c r="S130" s="22">
        <v>7522815</v>
      </c>
      <c r="T130" s="22">
        <v>7898956</v>
      </c>
      <c r="U130" s="5" t="s">
        <v>317</v>
      </c>
      <c r="V130" s="5" t="s">
        <v>317</v>
      </c>
      <c r="W130" s="17" t="s">
        <v>1223</v>
      </c>
      <c r="X130" s="22">
        <v>6900951</v>
      </c>
      <c r="Y130" s="5" t="s">
        <v>317</v>
      </c>
      <c r="Z130" s="5" t="s">
        <v>317</v>
      </c>
      <c r="AA130" s="5" t="s">
        <v>317</v>
      </c>
    </row>
    <row r="131" spans="7:27" x14ac:dyDescent="0.25">
      <c r="G131" s="117" t="s">
        <v>1261</v>
      </c>
      <c r="H131" s="117" t="str">
        <f>IFERROR(INDEX(Tabla10[ID],MATCH(EVAL_ECO[[#This Row],[NOMBRE DEL PROPONENTE]],Tabla10[Alias],0)),"")</f>
        <v>PROP_37</v>
      </c>
      <c r="I131" t="s">
        <v>1278</v>
      </c>
      <c r="J131" t="s">
        <v>736</v>
      </c>
      <c r="K131" t="s">
        <v>736</v>
      </c>
      <c r="N131" t="s">
        <v>1225</v>
      </c>
      <c r="O131" s="22">
        <v>3710009</v>
      </c>
      <c r="P131" s="5" t="s">
        <v>317</v>
      </c>
      <c r="Q131" s="5" t="s">
        <v>317</v>
      </c>
      <c r="R131" s="5" t="s">
        <v>317</v>
      </c>
      <c r="S131" s="22">
        <v>4015667</v>
      </c>
      <c r="T131" s="22">
        <v>4216450</v>
      </c>
      <c r="U131" s="5" t="s">
        <v>317</v>
      </c>
      <c r="V131" s="5" t="s">
        <v>317</v>
      </c>
      <c r="W131" s="17" t="s">
        <v>1223</v>
      </c>
      <c r="X131" s="22">
        <v>3710009</v>
      </c>
      <c r="Y131" s="5" t="s">
        <v>317</v>
      </c>
      <c r="Z131" s="5" t="s">
        <v>317</v>
      </c>
      <c r="AA131" s="5" t="s">
        <v>317</v>
      </c>
    </row>
    <row r="132" spans="7:27" x14ac:dyDescent="0.25">
      <c r="G132" s="117" t="s">
        <v>1261</v>
      </c>
      <c r="H132" s="117" t="str">
        <f>IFERROR(INDEX(Tabla10[ID],MATCH(EVAL_ECO[[#This Row],[NOMBRE DEL PROPONENTE]],Tabla10[Alias],0)),"")</f>
        <v>PROP_38</v>
      </c>
      <c r="I132" t="s">
        <v>1279</v>
      </c>
      <c r="J132" t="s">
        <v>736</v>
      </c>
      <c r="K132" t="s">
        <v>736</v>
      </c>
      <c r="N132" t="s">
        <v>1225</v>
      </c>
      <c r="O132" s="22">
        <v>5383881</v>
      </c>
      <c r="P132" s="5" t="s">
        <v>317</v>
      </c>
      <c r="Q132" s="5" t="s">
        <v>317</v>
      </c>
      <c r="R132" s="5" t="s">
        <v>317</v>
      </c>
      <c r="S132" s="22">
        <v>4015667</v>
      </c>
      <c r="T132" s="22">
        <v>4216450</v>
      </c>
      <c r="U132" s="5" t="s">
        <v>317</v>
      </c>
      <c r="V132" s="5" t="s">
        <v>317</v>
      </c>
      <c r="W132" s="17" t="s">
        <v>1228</v>
      </c>
      <c r="Y132" s="5" t="s">
        <v>317</v>
      </c>
      <c r="Z132" s="5" t="s">
        <v>317</v>
      </c>
      <c r="AA132" s="5" t="s">
        <v>317</v>
      </c>
    </row>
    <row r="133" spans="7:27" x14ac:dyDescent="0.25">
      <c r="G133" s="117" t="s">
        <v>1261</v>
      </c>
      <c r="H133" s="117" t="str">
        <f>IFERROR(INDEX(Tabla10[ID],MATCH(EVAL_ECO[[#This Row],[NOMBRE DEL PROPONENTE]],Tabla10[Alias],0)),"")</f>
        <v>PROP_17</v>
      </c>
      <c r="I133" t="s">
        <v>174</v>
      </c>
      <c r="J133" t="s">
        <v>111</v>
      </c>
      <c r="K133" t="s">
        <v>1553</v>
      </c>
      <c r="N133" t="s">
        <v>1225</v>
      </c>
      <c r="O133" s="22">
        <v>18175800</v>
      </c>
      <c r="P133" s="5" t="s">
        <v>317</v>
      </c>
      <c r="Q133" s="5" t="s">
        <v>317</v>
      </c>
      <c r="R133" s="5" t="s">
        <v>317</v>
      </c>
      <c r="S133" s="22">
        <v>31276366</v>
      </c>
      <c r="T133" s="22">
        <v>32840184</v>
      </c>
      <c r="U133" s="5" t="s">
        <v>317</v>
      </c>
      <c r="V133" s="5" t="s">
        <v>317</v>
      </c>
      <c r="W133" s="17" t="s">
        <v>1223</v>
      </c>
      <c r="X133" s="22">
        <v>18175800</v>
      </c>
      <c r="Y133" s="5" t="s">
        <v>317</v>
      </c>
      <c r="Z133" s="5" t="s">
        <v>317</v>
      </c>
      <c r="AA133" s="5" t="s">
        <v>317</v>
      </c>
    </row>
    <row r="134" spans="7:27" x14ac:dyDescent="0.25">
      <c r="G134" s="117" t="s">
        <v>1261</v>
      </c>
      <c r="H134" s="117" t="str">
        <f>IFERROR(INDEX(Tabla10[ID],MATCH(EVAL_ECO[[#This Row],[NOMBRE DEL PROPONENTE]],Tabla10[Alias],0)),"")</f>
        <v>PROP_02</v>
      </c>
      <c r="I134" t="s">
        <v>160</v>
      </c>
      <c r="J134" t="s">
        <v>112</v>
      </c>
      <c r="K134" t="s">
        <v>1554</v>
      </c>
      <c r="N134" t="s">
        <v>1225</v>
      </c>
      <c r="O134" s="22">
        <v>7921715</v>
      </c>
      <c r="P134" s="5" t="s">
        <v>317</v>
      </c>
      <c r="Q134" s="5" t="s">
        <v>317</v>
      </c>
      <c r="R134" s="5" t="s">
        <v>317</v>
      </c>
      <c r="S134" s="22">
        <v>8133974</v>
      </c>
      <c r="T134" s="22">
        <v>8540673</v>
      </c>
      <c r="U134" s="5" t="s">
        <v>317</v>
      </c>
      <c r="V134" s="5" t="s">
        <v>317</v>
      </c>
      <c r="W134" s="17" t="s">
        <v>1228</v>
      </c>
      <c r="Y134" s="5" t="s">
        <v>317</v>
      </c>
      <c r="Z134" s="5" t="s">
        <v>317</v>
      </c>
      <c r="AA134" s="5" t="s">
        <v>317</v>
      </c>
    </row>
    <row r="135" spans="7:27" x14ac:dyDescent="0.25">
      <c r="G135" s="117" t="s">
        <v>1261</v>
      </c>
      <c r="H135" s="117" t="str">
        <f>IFERROR(INDEX(Tabla10[ID],MATCH(EVAL_ECO[[#This Row],[NOMBRE DEL PROPONENTE]],Tabla10[Alias],0)),"")</f>
        <v>PROP_41</v>
      </c>
      <c r="I135" t="s">
        <v>1285</v>
      </c>
      <c r="J135" t="s">
        <v>741</v>
      </c>
      <c r="K135" t="s">
        <v>741</v>
      </c>
      <c r="N135" t="s">
        <v>1225</v>
      </c>
      <c r="O135" s="22">
        <v>3604658</v>
      </c>
      <c r="P135" s="5" t="s">
        <v>317</v>
      </c>
      <c r="Q135" s="5" t="s">
        <v>317</v>
      </c>
      <c r="R135" s="5" t="s">
        <v>317</v>
      </c>
      <c r="S135" s="22">
        <v>3391581</v>
      </c>
      <c r="T135" s="22">
        <v>3730739</v>
      </c>
      <c r="U135" s="5" t="s">
        <v>317</v>
      </c>
      <c r="V135" s="5" t="s">
        <v>317</v>
      </c>
      <c r="W135" s="17" t="s">
        <v>1223</v>
      </c>
      <c r="X135" s="22">
        <v>3391581</v>
      </c>
      <c r="Y135" s="5" t="s">
        <v>317</v>
      </c>
      <c r="Z135" s="5" t="s">
        <v>317</v>
      </c>
      <c r="AA135" s="5" t="s">
        <v>317</v>
      </c>
    </row>
    <row r="136" spans="7:27" x14ac:dyDescent="0.25">
      <c r="G136" s="117" t="s">
        <v>1261</v>
      </c>
      <c r="H136" s="117" t="str">
        <f>IFERROR(INDEX(Tabla10[ID],MATCH(EVAL_ECO[[#This Row],[NOMBRE DEL PROPONENTE]],Tabla10[Alias],0)),"")</f>
        <v>PROP_37</v>
      </c>
      <c r="I136" t="s">
        <v>1278</v>
      </c>
      <c r="J136" t="s">
        <v>755</v>
      </c>
      <c r="K136" t="s">
        <v>755</v>
      </c>
      <c r="N136" t="s">
        <v>1225</v>
      </c>
      <c r="O136" s="22">
        <v>4124191</v>
      </c>
      <c r="P136" s="5" t="s">
        <v>317</v>
      </c>
      <c r="Q136" s="5" t="s">
        <v>317</v>
      </c>
      <c r="R136" s="5" t="s">
        <v>317</v>
      </c>
      <c r="S136" s="22">
        <v>5244849</v>
      </c>
      <c r="T136" s="22">
        <v>5507091</v>
      </c>
      <c r="U136" s="5" t="s">
        <v>317</v>
      </c>
      <c r="V136" s="5" t="s">
        <v>317</v>
      </c>
      <c r="W136" s="17" t="s">
        <v>1223</v>
      </c>
      <c r="X136" s="22">
        <v>4124191</v>
      </c>
      <c r="Y136" s="5" t="s">
        <v>317</v>
      </c>
      <c r="Z136" s="5" t="s">
        <v>317</v>
      </c>
      <c r="AA136" s="5" t="s">
        <v>317</v>
      </c>
    </row>
    <row r="137" spans="7:27" x14ac:dyDescent="0.25">
      <c r="G137" s="117" t="s">
        <v>1261</v>
      </c>
      <c r="H137" s="117" t="str">
        <f>IFERROR(INDEX(Tabla10[ID],MATCH(EVAL_ECO[[#This Row],[NOMBRE DEL PROPONENTE]],Tabla10[Alias],0)),"")</f>
        <v>PROP_17</v>
      </c>
      <c r="I137" t="s">
        <v>174</v>
      </c>
      <c r="J137" t="s">
        <v>113</v>
      </c>
      <c r="K137" t="s">
        <v>1555</v>
      </c>
      <c r="N137" t="s">
        <v>1225</v>
      </c>
      <c r="O137" s="22">
        <v>6505293</v>
      </c>
      <c r="P137" s="5" t="s">
        <v>317</v>
      </c>
      <c r="Q137" s="5" t="s">
        <v>317</v>
      </c>
      <c r="R137" s="5" t="s">
        <v>317</v>
      </c>
      <c r="S137" s="22">
        <v>9471871</v>
      </c>
      <c r="T137" s="22">
        <v>9945465</v>
      </c>
      <c r="U137" s="5" t="s">
        <v>317</v>
      </c>
      <c r="V137" s="5" t="s">
        <v>317</v>
      </c>
      <c r="W137" s="17" t="s">
        <v>1223</v>
      </c>
      <c r="X137" s="22">
        <v>6505293</v>
      </c>
      <c r="Y137" s="5" t="s">
        <v>317</v>
      </c>
      <c r="Z137" s="5" t="s">
        <v>317</v>
      </c>
      <c r="AA137" s="5" t="s">
        <v>317</v>
      </c>
    </row>
    <row r="138" spans="7:27" x14ac:dyDescent="0.25">
      <c r="G138" s="117" t="s">
        <v>1261</v>
      </c>
      <c r="H138" s="117" t="str">
        <f>IFERROR(INDEX(Tabla10[ID],MATCH(EVAL_ECO[[#This Row],[NOMBRE DEL PROPONENTE]],Tabla10[Alias],0)),"")</f>
        <v>PROP_42</v>
      </c>
      <c r="I138" t="s">
        <v>1286</v>
      </c>
      <c r="J138" t="s">
        <v>114</v>
      </c>
      <c r="K138" t="s">
        <v>1556</v>
      </c>
      <c r="N138" t="s">
        <v>1225</v>
      </c>
      <c r="O138" s="22">
        <v>8045797</v>
      </c>
      <c r="P138" s="5" t="s">
        <v>317</v>
      </c>
      <c r="Q138" s="5" t="s">
        <v>317</v>
      </c>
      <c r="R138" s="5" t="s">
        <v>317</v>
      </c>
      <c r="S138" s="22">
        <v>11455500</v>
      </c>
      <c r="T138" s="22">
        <v>12028275</v>
      </c>
      <c r="U138" s="5" t="s">
        <v>317</v>
      </c>
      <c r="V138" s="5" t="s">
        <v>317</v>
      </c>
      <c r="W138" s="17" t="s">
        <v>1228</v>
      </c>
      <c r="Y138" s="5" t="s">
        <v>317</v>
      </c>
      <c r="Z138" s="5" t="s">
        <v>317</v>
      </c>
      <c r="AA138" s="5" t="s">
        <v>317</v>
      </c>
    </row>
    <row r="139" spans="7:27" x14ac:dyDescent="0.25">
      <c r="G139" s="117" t="s">
        <v>1261</v>
      </c>
      <c r="H139" s="117" t="str">
        <f>IFERROR(INDEX(Tabla10[ID],MATCH(EVAL_ECO[[#This Row],[NOMBRE DEL PROPONENTE]],Tabla10[Alias],0)),"")</f>
        <v>PROP_43</v>
      </c>
      <c r="I139" t="s">
        <v>1287</v>
      </c>
      <c r="J139" t="s">
        <v>114</v>
      </c>
      <c r="K139" t="s">
        <v>1556</v>
      </c>
      <c r="N139" t="s">
        <v>1225</v>
      </c>
      <c r="O139" s="22">
        <v>6866810</v>
      </c>
      <c r="P139" s="5" t="s">
        <v>317</v>
      </c>
      <c r="Q139" s="5" t="s">
        <v>317</v>
      </c>
      <c r="R139" s="5" t="s">
        <v>317</v>
      </c>
      <c r="S139" s="22">
        <v>11455500</v>
      </c>
      <c r="T139" s="22">
        <v>12028275</v>
      </c>
      <c r="U139" s="5" t="s">
        <v>317</v>
      </c>
      <c r="V139" s="5" t="s">
        <v>317</v>
      </c>
      <c r="W139" s="17" t="s">
        <v>1228</v>
      </c>
      <c r="Y139" s="5" t="s">
        <v>317</v>
      </c>
      <c r="Z139" s="5" t="s">
        <v>317</v>
      </c>
      <c r="AA139" s="5" t="s">
        <v>317</v>
      </c>
    </row>
    <row r="140" spans="7:27" x14ac:dyDescent="0.25">
      <c r="G140" s="117" t="s">
        <v>1261</v>
      </c>
      <c r="H140" s="117" t="str">
        <f>IFERROR(INDEX(Tabla10[ID],MATCH(EVAL_ECO[[#This Row],[NOMBRE DEL PROPONENTE]],Tabla10[Alias],0)),"")</f>
        <v>PROP_25</v>
      </c>
      <c r="I140" t="s">
        <v>1237</v>
      </c>
      <c r="J140" t="s">
        <v>114</v>
      </c>
      <c r="K140" t="s">
        <v>1556</v>
      </c>
      <c r="N140" t="s">
        <v>1225</v>
      </c>
      <c r="O140" s="22">
        <v>5877000</v>
      </c>
      <c r="P140" s="5" t="s">
        <v>317</v>
      </c>
      <c r="Q140" s="5" t="s">
        <v>317</v>
      </c>
      <c r="R140" s="5" t="s">
        <v>317</v>
      </c>
      <c r="S140" s="22">
        <v>11455500</v>
      </c>
      <c r="T140" s="22">
        <v>12028275</v>
      </c>
      <c r="U140" s="5" t="s">
        <v>317</v>
      </c>
      <c r="V140" s="5" t="s">
        <v>317</v>
      </c>
      <c r="W140" s="17" t="s">
        <v>1223</v>
      </c>
      <c r="X140" s="22">
        <v>5877000</v>
      </c>
      <c r="Y140" s="5" t="s">
        <v>317</v>
      </c>
      <c r="Z140" s="5" t="s">
        <v>317</v>
      </c>
      <c r="AA140" s="5" t="s">
        <v>317</v>
      </c>
    </row>
    <row r="141" spans="7:27" x14ac:dyDescent="0.25">
      <c r="G141" s="117" t="s">
        <v>1261</v>
      </c>
      <c r="H141" s="117" t="str">
        <f>IFERROR(INDEX(Tabla10[ID],MATCH(EVAL_ECO[[#This Row],[NOMBRE DEL PROPONENTE]],Tabla10[Alias],0)),"")</f>
        <v>PROP_39</v>
      </c>
      <c r="I141" t="s">
        <v>1281</v>
      </c>
      <c r="J141" t="s">
        <v>114</v>
      </c>
      <c r="K141" t="s">
        <v>1556</v>
      </c>
      <c r="N141" t="s">
        <v>1225</v>
      </c>
      <c r="O141" s="22">
        <v>8795301</v>
      </c>
      <c r="P141" s="5" t="s">
        <v>317</v>
      </c>
      <c r="Q141" s="5" t="s">
        <v>317</v>
      </c>
      <c r="R141" s="5" t="s">
        <v>317</v>
      </c>
      <c r="S141" s="22">
        <v>11455500</v>
      </c>
      <c r="T141" s="22">
        <v>12028275</v>
      </c>
      <c r="U141" s="5" t="s">
        <v>317</v>
      </c>
      <c r="V141" s="5" t="s">
        <v>317</v>
      </c>
      <c r="W141" s="17" t="s">
        <v>1228</v>
      </c>
      <c r="Y141" s="5" t="s">
        <v>317</v>
      </c>
      <c r="Z141" s="5" t="s">
        <v>317</v>
      </c>
      <c r="AA141" s="5" t="s">
        <v>317</v>
      </c>
    </row>
    <row r="142" spans="7:27" x14ac:dyDescent="0.25">
      <c r="G142" s="117" t="s">
        <v>1261</v>
      </c>
      <c r="H142" s="117" t="str">
        <f>IFERROR(INDEX(Tabla10[ID],MATCH(EVAL_ECO[[#This Row],[NOMBRE DEL PROPONENTE]],Tabla10[Alias],0)),"")</f>
        <v>PROP_16</v>
      </c>
      <c r="I142" t="s">
        <v>1272</v>
      </c>
      <c r="J142" t="s">
        <v>114</v>
      </c>
      <c r="K142" t="s">
        <v>1556</v>
      </c>
      <c r="N142" t="s">
        <v>1225</v>
      </c>
      <c r="O142" s="22">
        <v>8468693</v>
      </c>
      <c r="P142" s="5" t="s">
        <v>317</v>
      </c>
      <c r="Q142" s="5" t="s">
        <v>317</v>
      </c>
      <c r="R142" s="5" t="s">
        <v>317</v>
      </c>
      <c r="S142" s="22">
        <v>11455500</v>
      </c>
      <c r="T142" s="22">
        <v>12028275</v>
      </c>
      <c r="U142" s="5" t="s">
        <v>317</v>
      </c>
      <c r="V142" s="5" t="s">
        <v>317</v>
      </c>
      <c r="W142" s="17" t="s">
        <v>1228</v>
      </c>
      <c r="Y142" s="5" t="s">
        <v>317</v>
      </c>
      <c r="Z142" s="5" t="s">
        <v>317</v>
      </c>
      <c r="AA142" s="5" t="s">
        <v>317</v>
      </c>
    </row>
    <row r="143" spans="7:27" x14ac:dyDescent="0.25">
      <c r="G143" s="117" t="s">
        <v>1261</v>
      </c>
      <c r="H143" s="117" t="str">
        <f>IFERROR(INDEX(Tabla10[ID],MATCH(EVAL_ECO[[#This Row],[NOMBRE DEL PROPONENTE]],Tabla10[Alias],0)),"")</f>
        <v>PROP_01</v>
      </c>
      <c r="I143" t="s">
        <v>1264</v>
      </c>
      <c r="J143" t="s">
        <v>115</v>
      </c>
      <c r="K143" t="s">
        <v>1557</v>
      </c>
      <c r="N143" t="s">
        <v>1225</v>
      </c>
      <c r="O143" s="22">
        <v>8602096</v>
      </c>
      <c r="P143" s="5" t="s">
        <v>317</v>
      </c>
      <c r="Q143" s="5" t="s">
        <v>317</v>
      </c>
      <c r="R143" s="5" t="s">
        <v>317</v>
      </c>
      <c r="S143" s="22">
        <v>2104379</v>
      </c>
      <c r="T143" s="22">
        <v>2314817</v>
      </c>
      <c r="U143" s="5" t="s">
        <v>317</v>
      </c>
      <c r="V143" s="5" t="s">
        <v>317</v>
      </c>
      <c r="W143" s="17" t="s">
        <v>1228</v>
      </c>
      <c r="Y143" s="5" t="s">
        <v>317</v>
      </c>
      <c r="Z143" s="5" t="s">
        <v>317</v>
      </c>
      <c r="AA143" s="5" t="s">
        <v>317</v>
      </c>
    </row>
    <row r="144" spans="7:27" x14ac:dyDescent="0.25">
      <c r="G144" s="117" t="s">
        <v>1261</v>
      </c>
      <c r="H144" s="117" t="str">
        <f>IFERROR(INDEX(Tabla10[ID],MATCH(EVAL_ECO[[#This Row],[NOMBRE DEL PROPONENTE]],Tabla10[Alias],0)),"")</f>
        <v>PROP_18</v>
      </c>
      <c r="I144" t="s">
        <v>175</v>
      </c>
      <c r="J144" t="s">
        <v>115</v>
      </c>
      <c r="K144" t="s">
        <v>1557</v>
      </c>
      <c r="N144" t="s">
        <v>1225</v>
      </c>
      <c r="O144" s="22">
        <v>2630711</v>
      </c>
      <c r="P144" s="5" t="s">
        <v>317</v>
      </c>
      <c r="Q144" s="5" t="s">
        <v>317</v>
      </c>
      <c r="R144" s="5" t="s">
        <v>317</v>
      </c>
      <c r="S144" s="22">
        <v>2104379</v>
      </c>
      <c r="T144" s="22">
        <v>2314817</v>
      </c>
      <c r="U144" s="5" t="s">
        <v>317</v>
      </c>
      <c r="V144" s="5" t="s">
        <v>317</v>
      </c>
      <c r="W144" s="17" t="s">
        <v>1228</v>
      </c>
      <c r="Y144" s="5" t="s">
        <v>317</v>
      </c>
      <c r="Z144" s="5" t="s">
        <v>317</v>
      </c>
      <c r="AA144" s="5" t="s">
        <v>317</v>
      </c>
    </row>
    <row r="145" spans="7:27" x14ac:dyDescent="0.25">
      <c r="G145" s="117" t="s">
        <v>1261</v>
      </c>
      <c r="H145" s="117" t="str">
        <f>IFERROR(INDEX(Tabla10[ID],MATCH(EVAL_ECO[[#This Row],[NOMBRE DEL PROPONENTE]],Tabla10[Alias],0)),"")</f>
        <v>PROP_01</v>
      </c>
      <c r="I145" t="s">
        <v>1264</v>
      </c>
      <c r="J145" t="s">
        <v>117</v>
      </c>
      <c r="K145" t="s">
        <v>1558</v>
      </c>
      <c r="N145" t="s">
        <v>1225</v>
      </c>
      <c r="O145" s="22">
        <v>6046117</v>
      </c>
      <c r="P145" s="5" t="s">
        <v>317</v>
      </c>
      <c r="Q145" s="5" t="s">
        <v>317</v>
      </c>
      <c r="R145" s="5" t="s">
        <v>317</v>
      </c>
      <c r="S145" s="22">
        <v>5086972</v>
      </c>
      <c r="T145" s="22">
        <v>5341321</v>
      </c>
      <c r="U145" s="5" t="s">
        <v>317</v>
      </c>
      <c r="V145" s="5" t="s">
        <v>317</v>
      </c>
      <c r="W145" s="17" t="s">
        <v>1228</v>
      </c>
      <c r="Y145" s="5" t="s">
        <v>317</v>
      </c>
      <c r="Z145" s="5" t="s">
        <v>317</v>
      </c>
      <c r="AA145" s="5" t="s">
        <v>317</v>
      </c>
    </row>
    <row r="146" spans="7:27" x14ac:dyDescent="0.25">
      <c r="G146" s="117" t="s">
        <v>1261</v>
      </c>
      <c r="H146" s="117" t="str">
        <f>IFERROR(INDEX(Tabla10[ID],MATCH(EVAL_ECO[[#This Row],[NOMBRE DEL PROPONENTE]],Tabla10[Alias],0)),"")</f>
        <v>PROP_02</v>
      </c>
      <c r="I146" t="s">
        <v>160</v>
      </c>
      <c r="J146" t="s">
        <v>117</v>
      </c>
      <c r="K146" t="s">
        <v>1558</v>
      </c>
      <c r="N146" t="s">
        <v>1225</v>
      </c>
      <c r="O146" s="22">
        <v>4545512</v>
      </c>
      <c r="P146" s="5" t="s">
        <v>317</v>
      </c>
      <c r="Q146" s="5" t="s">
        <v>317</v>
      </c>
      <c r="R146" s="5" t="s">
        <v>317</v>
      </c>
      <c r="S146" s="22">
        <v>5086972</v>
      </c>
      <c r="T146" s="22">
        <v>5341321</v>
      </c>
      <c r="U146" s="5" t="s">
        <v>317</v>
      </c>
      <c r="V146" s="5" t="s">
        <v>317</v>
      </c>
      <c r="W146" s="17" t="s">
        <v>1228</v>
      </c>
      <c r="Y146" s="5" t="s">
        <v>317</v>
      </c>
      <c r="Z146" s="5" t="s">
        <v>317</v>
      </c>
      <c r="AA146" s="5" t="s">
        <v>317</v>
      </c>
    </row>
    <row r="147" spans="7:27" x14ac:dyDescent="0.25">
      <c r="G147" s="117" t="s">
        <v>1261</v>
      </c>
      <c r="H147" s="117" t="str">
        <f>IFERROR(INDEX(Tabla10[ID],MATCH(EVAL_ECO[[#This Row],[NOMBRE DEL PROPONENTE]],Tabla10[Alias],0)),"")</f>
        <v>PROP_37</v>
      </c>
      <c r="I147" t="s">
        <v>1278</v>
      </c>
      <c r="J147" t="s">
        <v>117</v>
      </c>
      <c r="K147" t="s">
        <v>1558</v>
      </c>
      <c r="N147" t="s">
        <v>1225</v>
      </c>
      <c r="O147" s="22">
        <v>4101059</v>
      </c>
      <c r="P147" s="5" t="s">
        <v>317</v>
      </c>
      <c r="Q147" s="5" t="s">
        <v>317</v>
      </c>
      <c r="R147" s="5" t="s">
        <v>317</v>
      </c>
      <c r="S147" s="22">
        <v>5086972</v>
      </c>
      <c r="T147" s="22">
        <v>5341321</v>
      </c>
      <c r="U147" s="5" t="s">
        <v>317</v>
      </c>
      <c r="V147" s="5" t="s">
        <v>317</v>
      </c>
      <c r="W147" s="17" t="s">
        <v>1223</v>
      </c>
      <c r="X147" s="22">
        <v>4101059</v>
      </c>
      <c r="Y147" s="5" t="s">
        <v>317</v>
      </c>
      <c r="Z147" s="5" t="s">
        <v>317</v>
      </c>
      <c r="AA147" s="5" t="s">
        <v>317</v>
      </c>
    </row>
    <row r="148" spans="7:27" x14ac:dyDescent="0.25">
      <c r="G148" s="117" t="s">
        <v>1261</v>
      </c>
      <c r="H148" s="117" t="str">
        <f>IFERROR(INDEX(Tabla10[ID],MATCH(EVAL_ECO[[#This Row],[NOMBRE DEL PROPONENTE]],Tabla10[Alias],0)),"")</f>
        <v>PROP_10</v>
      </c>
      <c r="I148" t="s">
        <v>1280</v>
      </c>
      <c r="J148" t="s">
        <v>117</v>
      </c>
      <c r="K148" t="s">
        <v>1558</v>
      </c>
      <c r="N148" t="s">
        <v>1225</v>
      </c>
      <c r="O148" s="22">
        <v>6648864</v>
      </c>
      <c r="P148" s="5" t="s">
        <v>317</v>
      </c>
      <c r="Q148" s="5" t="s">
        <v>317</v>
      </c>
      <c r="R148" s="5" t="s">
        <v>317</v>
      </c>
      <c r="S148" s="22">
        <v>5086972</v>
      </c>
      <c r="T148" s="22">
        <v>5341321</v>
      </c>
      <c r="U148" s="5" t="s">
        <v>317</v>
      </c>
      <c r="V148" s="5" t="s">
        <v>317</v>
      </c>
      <c r="W148" s="17" t="s">
        <v>1228</v>
      </c>
      <c r="Y148" s="5" t="s">
        <v>317</v>
      </c>
      <c r="Z148" s="5" t="s">
        <v>317</v>
      </c>
      <c r="AA148" s="5" t="s">
        <v>317</v>
      </c>
    </row>
    <row r="149" spans="7:27" x14ac:dyDescent="0.25">
      <c r="G149" s="117" t="s">
        <v>1261</v>
      </c>
      <c r="H149" s="117" t="str">
        <f>IFERROR(INDEX(Tabla10[ID],MATCH(EVAL_ECO[[#This Row],[NOMBRE DEL PROPONENTE]],Tabla10[Alias],0)),"")</f>
        <v>PROP_13</v>
      </c>
      <c r="I149" t="s">
        <v>1283</v>
      </c>
      <c r="J149" t="s">
        <v>117</v>
      </c>
      <c r="K149" t="s">
        <v>1558</v>
      </c>
      <c r="N149" t="s">
        <v>1225</v>
      </c>
      <c r="O149" s="22">
        <v>4623868</v>
      </c>
      <c r="P149" s="5" t="s">
        <v>317</v>
      </c>
      <c r="Q149" s="5" t="s">
        <v>317</v>
      </c>
      <c r="R149" s="5" t="s">
        <v>317</v>
      </c>
      <c r="S149" s="22">
        <v>5086972</v>
      </c>
      <c r="T149" s="22">
        <v>5341321</v>
      </c>
      <c r="U149" s="5" t="s">
        <v>317</v>
      </c>
      <c r="V149" s="5" t="s">
        <v>317</v>
      </c>
      <c r="W149" s="17" t="s">
        <v>1228</v>
      </c>
      <c r="Y149" s="5" t="s">
        <v>317</v>
      </c>
      <c r="Z149" s="5" t="s">
        <v>317</v>
      </c>
      <c r="AA149" s="5" t="s">
        <v>317</v>
      </c>
    </row>
    <row r="150" spans="7:27" x14ac:dyDescent="0.25">
      <c r="G150" s="117" t="s">
        <v>1301</v>
      </c>
      <c r="H150" s="117" t="str">
        <f>IFERROR(INDEX(Tabla10[ID],MATCH(EVAL_ECO[[#This Row],[NOMBRE DEL PROPONENTE]],Tabla10[Alias],0)),"")</f>
        <v>PROP_01</v>
      </c>
      <c r="I150" t="s">
        <v>1264</v>
      </c>
      <c r="J150" t="s">
        <v>1390</v>
      </c>
      <c r="K150" t="s">
        <v>1390</v>
      </c>
      <c r="N150" t="s">
        <v>1243</v>
      </c>
      <c r="O150" s="22"/>
      <c r="S150" s="22"/>
      <c r="T150" s="22"/>
      <c r="U150" s="22"/>
      <c r="V150" s="22"/>
      <c r="Y150" s="5"/>
      <c r="Z150" s="5"/>
      <c r="AA150" s="5"/>
    </row>
    <row r="151" spans="7:27" x14ac:dyDescent="0.25">
      <c r="G151" s="117" t="s">
        <v>1301</v>
      </c>
      <c r="H151" s="117" t="str">
        <f>IFERROR(INDEX(Tabla10[ID],MATCH(EVAL_ECO[[#This Row],[NOMBRE DEL PROPONENTE]],Tabla10[Alias],0)),"")</f>
        <v>PROP_44</v>
      </c>
      <c r="I151" t="s">
        <v>1304</v>
      </c>
      <c r="J151" t="s">
        <v>104</v>
      </c>
      <c r="K151" t="s">
        <v>1559</v>
      </c>
      <c r="N151" t="s">
        <v>1225</v>
      </c>
      <c r="O151" s="22"/>
      <c r="P151" s="22"/>
      <c r="Q151" s="22"/>
      <c r="R151" s="22">
        <v>1497323</v>
      </c>
      <c r="S151" s="22"/>
      <c r="T151" s="22"/>
      <c r="U151" s="22">
        <v>2288742</v>
      </c>
      <c r="V151" s="22">
        <v>2403179</v>
      </c>
      <c r="W151" s="17" t="s">
        <v>1223</v>
      </c>
      <c r="Y151" s="5"/>
      <c r="Z151" s="5"/>
      <c r="AA151" s="22">
        <v>1497323</v>
      </c>
    </row>
    <row r="152" spans="7:27" x14ac:dyDescent="0.25">
      <c r="G152" s="117" t="s">
        <v>1301</v>
      </c>
      <c r="H152" s="117" t="str">
        <f>IFERROR(INDEX(Tabla10[ID],MATCH(EVAL_ECO[[#This Row],[NOMBRE DEL PROPONENTE]],Tabla10[Alias],0)),"")</f>
        <v>PROP_45</v>
      </c>
      <c r="I152" t="s">
        <v>1305</v>
      </c>
      <c r="J152" t="s">
        <v>104</v>
      </c>
      <c r="K152" t="s">
        <v>1559</v>
      </c>
      <c r="N152" t="s">
        <v>1225</v>
      </c>
      <c r="O152" s="22"/>
      <c r="P152" s="22"/>
      <c r="Q152" s="22"/>
      <c r="R152" s="22">
        <v>2490263</v>
      </c>
      <c r="S152" s="22"/>
      <c r="T152" s="22"/>
      <c r="U152" s="22">
        <v>2288742</v>
      </c>
      <c r="V152" s="22">
        <v>2403179</v>
      </c>
      <c r="W152" s="17" t="s">
        <v>1228</v>
      </c>
      <c r="Y152" s="5"/>
      <c r="Z152" s="5"/>
      <c r="AA152" s="5"/>
    </row>
    <row r="153" spans="7:27" x14ac:dyDescent="0.25">
      <c r="G153" s="117" t="s">
        <v>1301</v>
      </c>
      <c r="H153" s="117" t="str">
        <f>IFERROR(INDEX(Tabla10[ID],MATCH(EVAL_ECO[[#This Row],[NOMBRE DEL PROPONENTE]],Tabla10[Alias],0)),"")</f>
        <v>PROP_46</v>
      </c>
      <c r="I153" t="s">
        <v>1306</v>
      </c>
      <c r="J153" t="s">
        <v>104</v>
      </c>
      <c r="K153" t="s">
        <v>1559</v>
      </c>
      <c r="N153" t="s">
        <v>1225</v>
      </c>
      <c r="O153" s="22"/>
      <c r="P153" s="22"/>
      <c r="Q153" s="22"/>
      <c r="R153" s="22">
        <v>1662791</v>
      </c>
      <c r="S153" s="22"/>
      <c r="T153" s="22"/>
      <c r="U153" s="22">
        <v>2288742</v>
      </c>
      <c r="V153" s="22">
        <v>2403179</v>
      </c>
      <c r="W153" s="17" t="s">
        <v>1228</v>
      </c>
      <c r="Y153" s="5"/>
      <c r="Z153" s="5"/>
      <c r="AA153" s="5"/>
    </row>
    <row r="154" spans="7:27" x14ac:dyDescent="0.25">
      <c r="G154" s="117" t="s">
        <v>1301</v>
      </c>
      <c r="H154" s="117" t="str">
        <f>IFERROR(INDEX(Tabla10[ID],MATCH(EVAL_ECO[[#This Row],[NOMBRE DEL PROPONENTE]],Tabla10[Alias],0)),"")</f>
        <v>PROP_47</v>
      </c>
      <c r="I154" t="s">
        <v>1297</v>
      </c>
      <c r="J154" t="s">
        <v>104</v>
      </c>
      <c r="K154" t="s">
        <v>1559</v>
      </c>
      <c r="N154" t="s">
        <v>1225</v>
      </c>
      <c r="O154" s="22"/>
      <c r="P154" s="22"/>
      <c r="Q154" s="22"/>
      <c r="R154" s="22">
        <v>2183180</v>
      </c>
      <c r="S154" s="22"/>
      <c r="T154" s="22"/>
      <c r="U154" s="22">
        <v>2288742</v>
      </c>
      <c r="V154" s="22">
        <v>2403179</v>
      </c>
      <c r="W154" s="17" t="s">
        <v>1228</v>
      </c>
      <c r="Y154" s="5"/>
      <c r="Z154" s="5"/>
      <c r="AA154" s="5"/>
    </row>
    <row r="155" spans="7:27" x14ac:dyDescent="0.25">
      <c r="G155" s="117" t="s">
        <v>1301</v>
      </c>
      <c r="H155" s="117" t="str">
        <f>IFERROR(INDEX(Tabla10[ID],MATCH(EVAL_ECO[[#This Row],[NOMBRE DEL PROPONENTE]],Tabla10[Alias],0)),"")</f>
        <v>PROP_44</v>
      </c>
      <c r="I155" t="s">
        <v>1304</v>
      </c>
      <c r="J155" t="s">
        <v>107</v>
      </c>
      <c r="K155" t="s">
        <v>1560</v>
      </c>
      <c r="N155" t="s">
        <v>1225</v>
      </c>
      <c r="O155" s="22"/>
      <c r="P155" s="22"/>
      <c r="Q155" s="22"/>
      <c r="R155" s="22">
        <v>4144259</v>
      </c>
      <c r="S155" s="22"/>
      <c r="T155" s="22"/>
      <c r="U155" s="22">
        <v>6414518</v>
      </c>
      <c r="V155" s="22">
        <v>6735244</v>
      </c>
      <c r="W155" s="17" t="s">
        <v>1223</v>
      </c>
      <c r="Y155" s="5"/>
      <c r="Z155" s="5"/>
      <c r="AA155" s="22">
        <v>4144259</v>
      </c>
    </row>
    <row r="156" spans="7:27" x14ac:dyDescent="0.25">
      <c r="G156" s="117" t="s">
        <v>1301</v>
      </c>
      <c r="H156" s="117" t="str">
        <f>IFERROR(INDEX(Tabla10[ID],MATCH(EVAL_ECO[[#This Row],[NOMBRE DEL PROPONENTE]],Tabla10[Alias],0)),"")</f>
        <v>PROP_47</v>
      </c>
      <c r="I156" t="s">
        <v>1297</v>
      </c>
      <c r="J156" t="s">
        <v>107</v>
      </c>
      <c r="K156" t="s">
        <v>1560</v>
      </c>
      <c r="N156" t="s">
        <v>1225</v>
      </c>
      <c r="O156" s="22"/>
      <c r="P156" s="22"/>
      <c r="Q156" s="22"/>
      <c r="R156" s="22">
        <v>5851922</v>
      </c>
      <c r="S156" s="22"/>
      <c r="T156" s="22"/>
      <c r="U156" s="22">
        <v>6414518</v>
      </c>
      <c r="V156" s="22">
        <v>6735244</v>
      </c>
      <c r="W156" s="17" t="s">
        <v>1228</v>
      </c>
      <c r="Y156" s="5"/>
      <c r="Z156" s="5"/>
      <c r="AA156" s="5"/>
    </row>
    <row r="157" spans="7:27" x14ac:dyDescent="0.25">
      <c r="G157" s="117" t="s">
        <v>1301</v>
      </c>
      <c r="H157" s="117" t="str">
        <f>IFERROR(INDEX(Tabla10[ID],MATCH(EVAL_ECO[[#This Row],[NOMBRE DEL PROPONENTE]],Tabla10[Alias],0)),"")</f>
        <v>PROP_44</v>
      </c>
      <c r="I157" t="s">
        <v>1304</v>
      </c>
      <c r="J157" t="s">
        <v>108</v>
      </c>
      <c r="K157" t="s">
        <v>1561</v>
      </c>
      <c r="N157" t="s">
        <v>1225</v>
      </c>
      <c r="O157" s="22"/>
      <c r="P157" s="22"/>
      <c r="Q157" s="22"/>
      <c r="R157" s="22">
        <v>1422595</v>
      </c>
      <c r="S157" s="22"/>
      <c r="T157" s="22"/>
      <c r="U157" s="22">
        <v>1775459</v>
      </c>
      <c r="V157" s="22">
        <v>1864232</v>
      </c>
      <c r="W157" s="17" t="s">
        <v>1228</v>
      </c>
      <c r="Y157" s="5"/>
      <c r="Z157" s="5"/>
      <c r="AA157" s="5"/>
    </row>
    <row r="158" spans="7:27" x14ac:dyDescent="0.25">
      <c r="G158" s="117" t="s">
        <v>1301</v>
      </c>
      <c r="H158" s="117" t="str">
        <f>IFERROR(INDEX(Tabla10[ID],MATCH(EVAL_ECO[[#This Row],[NOMBRE DEL PROPONENTE]],Tabla10[Alias],0)),"")</f>
        <v>PROP_45</v>
      </c>
      <c r="I158" t="s">
        <v>1305</v>
      </c>
      <c r="J158" t="s">
        <v>108</v>
      </c>
      <c r="K158" t="s">
        <v>1561</v>
      </c>
      <c r="N158" t="s">
        <v>1225</v>
      </c>
      <c r="O158" s="22"/>
      <c r="P158" s="22"/>
      <c r="Q158" s="22"/>
      <c r="R158" s="22">
        <v>1089174</v>
      </c>
      <c r="S158" s="22"/>
      <c r="T158" s="22"/>
      <c r="U158" s="22">
        <v>1775459</v>
      </c>
      <c r="V158" s="22">
        <v>1864232</v>
      </c>
      <c r="W158" s="17" t="s">
        <v>1223</v>
      </c>
      <c r="Y158" s="5"/>
      <c r="Z158" s="5"/>
      <c r="AA158" s="22">
        <v>1089174</v>
      </c>
    </row>
    <row r="159" spans="7:27" x14ac:dyDescent="0.25">
      <c r="G159" s="117" t="s">
        <v>1301</v>
      </c>
      <c r="H159" s="117" t="str">
        <f>IFERROR(INDEX(Tabla10[ID],MATCH(EVAL_ECO[[#This Row],[NOMBRE DEL PROPONENTE]],Tabla10[Alias],0)),"")</f>
        <v>PROP_47</v>
      </c>
      <c r="I159" t="s">
        <v>1297</v>
      </c>
      <c r="J159" t="s">
        <v>108</v>
      </c>
      <c r="K159" t="s">
        <v>1561</v>
      </c>
      <c r="N159" t="s">
        <v>1225</v>
      </c>
      <c r="O159" s="22"/>
      <c r="P159" s="22"/>
      <c r="Q159" s="22"/>
      <c r="R159" s="22">
        <v>1628265</v>
      </c>
      <c r="S159" s="22"/>
      <c r="T159" s="22"/>
      <c r="U159" s="22">
        <v>1775459</v>
      </c>
      <c r="V159" s="22">
        <v>1864232</v>
      </c>
      <c r="W159" s="17" t="s">
        <v>1228</v>
      </c>
      <c r="Y159" s="5"/>
      <c r="Z159" s="5"/>
      <c r="AA159" s="5"/>
    </row>
    <row r="164" spans="10:15" x14ac:dyDescent="0.25">
      <c r="L164" s="117"/>
      <c r="O164" s="117"/>
    </row>
    <row r="165" spans="10:15" x14ac:dyDescent="0.25">
      <c r="J165" s="24"/>
      <c r="N165" s="23"/>
    </row>
    <row r="166" spans="10:15" x14ac:dyDescent="0.25">
      <c r="J166" s="161"/>
      <c r="N166" s="24"/>
    </row>
    <row r="167" spans="10:15" x14ac:dyDescent="0.25">
      <c r="J167" s="24"/>
      <c r="N167" s="23"/>
    </row>
    <row r="168" spans="10:15" x14ac:dyDescent="0.25">
      <c r="J168" s="24"/>
      <c r="N168" s="24"/>
    </row>
    <row r="169" spans="10:15" x14ac:dyDescent="0.25">
      <c r="J169" s="24"/>
      <c r="N169" s="23"/>
    </row>
    <row r="170" spans="10:15" x14ac:dyDescent="0.25">
      <c r="J170" s="23"/>
      <c r="N170" s="24"/>
    </row>
    <row r="171" spans="10:15" x14ac:dyDescent="0.25">
      <c r="J171" s="24"/>
      <c r="N171" s="24"/>
    </row>
    <row r="172" spans="10:15" x14ac:dyDescent="0.25">
      <c r="J172" s="23"/>
      <c r="N172" s="162"/>
    </row>
    <row r="173" spans="10:15" x14ac:dyDescent="0.25">
      <c r="J173" s="23"/>
      <c r="N173" s="162"/>
    </row>
    <row r="174" spans="10:15" x14ac:dyDescent="0.25">
      <c r="J174" s="24"/>
      <c r="N174" s="162"/>
    </row>
    <row r="175" spans="10:15" x14ac:dyDescent="0.25">
      <c r="J175" s="24"/>
      <c r="N175" s="162"/>
    </row>
    <row r="176" spans="10:15" x14ac:dyDescent="0.25">
      <c r="J176" s="24"/>
      <c r="N176" s="162"/>
    </row>
    <row r="177" spans="10:14" x14ac:dyDescent="0.25">
      <c r="J177" s="23"/>
      <c r="N177" s="162"/>
    </row>
    <row r="178" spans="10:14" x14ac:dyDescent="0.25">
      <c r="J178" s="24"/>
      <c r="N178" s="162"/>
    </row>
    <row r="179" spans="10:14" x14ac:dyDescent="0.25">
      <c r="J179" s="23"/>
      <c r="N179" s="162"/>
    </row>
    <row r="180" spans="10:14" x14ac:dyDescent="0.25">
      <c r="J180" s="24"/>
      <c r="N180" s="162"/>
    </row>
    <row r="181" spans="10:14" x14ac:dyDescent="0.25">
      <c r="J181" s="23"/>
      <c r="N181" s="162"/>
    </row>
    <row r="182" spans="10:14" x14ac:dyDescent="0.25">
      <c r="J182" s="23"/>
      <c r="N182" s="162"/>
    </row>
    <row r="183" spans="10:14" x14ac:dyDescent="0.25">
      <c r="J183" s="24"/>
      <c r="N183" s="162"/>
    </row>
    <row r="184" spans="10:14" x14ac:dyDescent="0.25">
      <c r="J184" s="24"/>
    </row>
    <row r="185" spans="10:14" x14ac:dyDescent="0.25">
      <c r="J185" s="23"/>
    </row>
    <row r="186" spans="10:14" x14ac:dyDescent="0.25">
      <c r="J186" s="24"/>
    </row>
    <row r="187" spans="10:14" x14ac:dyDescent="0.25">
      <c r="J187" s="23"/>
    </row>
    <row r="188" spans="10:14" x14ac:dyDescent="0.25">
      <c r="J188" s="24"/>
    </row>
    <row r="189" spans="10:14" x14ac:dyDescent="0.25">
      <c r="J189" s="23"/>
    </row>
    <row r="190" spans="10:14" x14ac:dyDescent="0.25">
      <c r="J190" s="23"/>
    </row>
    <row r="191" spans="10:14" x14ac:dyDescent="0.25">
      <c r="J191" s="24"/>
    </row>
    <row r="192" spans="10:14" x14ac:dyDescent="0.25">
      <c r="J192" s="23"/>
    </row>
    <row r="193" spans="10:10" x14ac:dyDescent="0.25">
      <c r="J193" s="23"/>
    </row>
    <row r="194" spans="10:10" x14ac:dyDescent="0.25">
      <c r="J194" s="23"/>
    </row>
    <row r="195" spans="10:10" x14ac:dyDescent="0.25">
      <c r="J195" s="24"/>
    </row>
    <row r="196" spans="10:10" x14ac:dyDescent="0.25">
      <c r="J196" s="23"/>
    </row>
    <row r="197" spans="10:10" x14ac:dyDescent="0.25">
      <c r="J197" s="23"/>
    </row>
  </sheetData>
  <mergeCells count="2">
    <mergeCell ref="B3:D3"/>
    <mergeCell ref="M3:Y3"/>
  </mergeCells>
  <phoneticPr fontId="1" type="noConversion"/>
  <dataValidations disablePrompts="1" count="3">
    <dataValidation type="list" allowBlank="1" showInputMessage="1" showErrorMessage="1" sqref="I5:I11" xr:uid="{27F14AB4-9A5C-4A20-8389-A6EA0FCAF250}">
      <formula1>ALIAS</formula1>
    </dataValidation>
    <dataValidation type="list" allowBlank="1" showInputMessage="1" showErrorMessage="1" sqref="N5:N159" xr:uid="{C080AC53-57E4-4011-AD6D-16672378C0C1}">
      <formula1>"CALIFICA,NO CALIFICA"</formula1>
    </dataValidation>
    <dataValidation type="list" allowBlank="1" showInputMessage="1" showErrorMessage="1" sqref="W5:W159" xr:uid="{DBC76885-D099-4899-982A-89C6F4B6B22D}">
      <formula1>"ADJUDICADA, NO ADJUDICADA POR VMAX, NO ADJUDICADA POR ADM, NO ADJUDICADA  - NO ES lA MAS ECO."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BAA31-B056-42DB-9345-009AA5739DA4}">
  <sheetPr codeName="Hoja5"/>
  <dimension ref="D4:AC79"/>
  <sheetViews>
    <sheetView topLeftCell="E1" workbookViewId="0">
      <selection activeCell="M28" sqref="M28"/>
    </sheetView>
  </sheetViews>
  <sheetFormatPr baseColWidth="10" defaultRowHeight="15" x14ac:dyDescent="0.25"/>
  <cols>
    <col min="4" max="4" width="31.85546875" customWidth="1"/>
    <col min="5" max="5" width="19.7109375" customWidth="1"/>
    <col min="6" max="6" width="2.7109375" customWidth="1"/>
    <col min="7" max="7" width="5" customWidth="1"/>
    <col min="8" max="8" width="28.85546875" customWidth="1"/>
    <col min="9" max="9" width="18.28515625" customWidth="1"/>
    <col min="13" max="13" width="14.42578125" customWidth="1"/>
    <col min="14" max="14" width="26.28515625" customWidth="1"/>
    <col min="15" max="15" width="19.42578125" customWidth="1"/>
    <col min="17" max="17" width="26.7109375" customWidth="1"/>
    <col min="18" max="18" width="18.28515625" customWidth="1"/>
    <col min="20" max="20" width="29.140625" customWidth="1"/>
    <col min="21" max="21" width="19" customWidth="1"/>
    <col min="24" max="24" width="23.7109375" customWidth="1"/>
    <col min="25" max="25" width="25" customWidth="1"/>
    <col min="26" max="26" width="35.85546875" customWidth="1"/>
    <col min="28" max="28" width="15.85546875" customWidth="1"/>
    <col min="29" max="29" width="29.28515625" customWidth="1"/>
  </cols>
  <sheetData>
    <row r="4" spans="4:29" ht="60" x14ac:dyDescent="0.25">
      <c r="D4" t="str">
        <f>+BASE_GRAL[[#Headers],[NOMBRE OBRA]]</f>
        <v>NOMBRE OBRA</v>
      </c>
      <c r="E4" t="e">
        <f>+#REF!</f>
        <v>#REF!</v>
      </c>
      <c r="H4" s="76" t="s">
        <v>284</v>
      </c>
      <c r="I4" s="74" t="s">
        <v>6</v>
      </c>
      <c r="M4" s="101" t="s">
        <v>285</v>
      </c>
      <c r="N4" s="102" t="s">
        <v>286</v>
      </c>
      <c r="O4" s="101" t="s">
        <v>287</v>
      </c>
      <c r="P4" s="102" t="s">
        <v>288</v>
      </c>
      <c r="Q4" s="102" t="s">
        <v>289</v>
      </c>
      <c r="R4" s="102" t="s">
        <v>290</v>
      </c>
      <c r="S4" s="102" t="s">
        <v>291</v>
      </c>
      <c r="T4" s="103" t="s">
        <v>292</v>
      </c>
      <c r="U4" s="103" t="s">
        <v>293</v>
      </c>
      <c r="V4" s="102" t="s">
        <v>299</v>
      </c>
      <c r="W4" s="102" t="s">
        <v>300</v>
      </c>
      <c r="X4" s="102" t="s">
        <v>6</v>
      </c>
      <c r="Y4" s="104" t="s">
        <v>301</v>
      </c>
      <c r="Z4" s="102" t="s">
        <v>302</v>
      </c>
      <c r="AA4" s="102" t="s">
        <v>303</v>
      </c>
      <c r="AB4" s="102" t="s">
        <v>304</v>
      </c>
      <c r="AC4" s="102" t="s">
        <v>305</v>
      </c>
    </row>
    <row r="5" spans="4:29" x14ac:dyDescent="0.25">
      <c r="D5" s="23" t="s">
        <v>22</v>
      </c>
      <c r="E5" s="23" t="s">
        <v>1114</v>
      </c>
      <c r="H5" s="75" t="s">
        <v>314</v>
      </c>
      <c r="I5" s="75" t="s">
        <v>1114</v>
      </c>
      <c r="K5">
        <f>+IF(E5=I5,1,0)</f>
        <v>1</v>
      </c>
      <c r="M5" s="75" t="s">
        <v>315</v>
      </c>
      <c r="N5" s="75" t="s">
        <v>311</v>
      </c>
      <c r="O5" s="79">
        <v>43287</v>
      </c>
      <c r="P5" s="80" t="s">
        <v>316</v>
      </c>
      <c r="Q5" s="79">
        <v>43673</v>
      </c>
      <c r="R5" s="81">
        <v>1.8814969300036701</v>
      </c>
      <c r="S5" s="82">
        <v>18</v>
      </c>
      <c r="T5" s="83">
        <v>6103918.0000000009</v>
      </c>
      <c r="U5" s="83">
        <f>Tabla1[[#This Row],[V.I. Adj]]/1000000</f>
        <v>7.5418336100000012</v>
      </c>
      <c r="V5" s="84" t="s">
        <v>317</v>
      </c>
      <c r="W5" s="84" t="s">
        <v>317</v>
      </c>
      <c r="X5" s="75" t="s">
        <v>1114</v>
      </c>
      <c r="Y5" s="85" t="s">
        <v>319</v>
      </c>
      <c r="Z5" s="86">
        <v>42936</v>
      </c>
      <c r="AA5" s="86">
        <v>42966</v>
      </c>
      <c r="AB5" s="86">
        <v>43328</v>
      </c>
      <c r="AC5" s="98">
        <v>43312</v>
      </c>
    </row>
    <row r="6" spans="4:29" x14ac:dyDescent="0.25">
      <c r="D6" s="24" t="s">
        <v>23</v>
      </c>
      <c r="E6" s="24" t="s">
        <v>1115</v>
      </c>
      <c r="H6" s="75" t="s">
        <v>321</v>
      </c>
      <c r="I6" s="75" t="s">
        <v>1115</v>
      </c>
      <c r="K6">
        <f t="shared" ref="K6:K69" si="0">+IF(E6=I6,1,0)</f>
        <v>1</v>
      </c>
      <c r="M6" s="75" t="s">
        <v>315</v>
      </c>
      <c r="N6" s="75" t="s">
        <v>311</v>
      </c>
      <c r="O6" s="79">
        <v>43287</v>
      </c>
      <c r="P6" s="80" t="s">
        <v>316</v>
      </c>
      <c r="Q6" s="79">
        <v>43673</v>
      </c>
      <c r="R6" s="81">
        <v>2.144228483292471</v>
      </c>
      <c r="S6" s="87">
        <v>18</v>
      </c>
      <c r="T6" s="83">
        <v>5955309</v>
      </c>
      <c r="U6" s="83">
        <f>Tabla1[[#This Row],[V.I. Adj]]/1000000</f>
        <v>12.158021</v>
      </c>
      <c r="V6" s="84" t="s">
        <v>317</v>
      </c>
      <c r="W6" s="84" t="s">
        <v>317</v>
      </c>
      <c r="X6" s="75" t="s">
        <v>1115</v>
      </c>
      <c r="Y6" s="85" t="s">
        <v>319</v>
      </c>
      <c r="Z6" s="86">
        <v>42936</v>
      </c>
      <c r="AA6" s="86">
        <v>42966</v>
      </c>
      <c r="AB6" s="86">
        <v>43328</v>
      </c>
      <c r="AC6" s="98">
        <v>43312</v>
      </c>
    </row>
    <row r="7" spans="4:29" x14ac:dyDescent="0.25">
      <c r="D7" s="23" t="s">
        <v>24</v>
      </c>
      <c r="E7" s="23" t="s">
        <v>1116</v>
      </c>
      <c r="H7" s="75" t="s">
        <v>325</v>
      </c>
      <c r="I7" s="75" t="s">
        <v>1116</v>
      </c>
      <c r="K7">
        <f t="shared" si="0"/>
        <v>1</v>
      </c>
      <c r="M7" s="75" t="s">
        <v>326</v>
      </c>
      <c r="N7" s="75" t="s">
        <v>323</v>
      </c>
      <c r="O7" s="79">
        <v>43607</v>
      </c>
      <c r="P7" s="82" t="s">
        <v>317</v>
      </c>
      <c r="Q7" s="82" t="s">
        <v>317</v>
      </c>
      <c r="R7" s="81">
        <v>5.6656788185020419</v>
      </c>
      <c r="S7" s="82">
        <v>18</v>
      </c>
      <c r="T7" s="83">
        <v>8100400</v>
      </c>
      <c r="U7" s="83">
        <f>Tabla1[[#This Row],[V.I. Adj]]/1000000</f>
        <v>5.2376347032609267</v>
      </c>
      <c r="V7" s="84" t="s">
        <v>317</v>
      </c>
      <c r="W7" s="84" t="s">
        <v>317</v>
      </c>
      <c r="X7" s="75" t="s">
        <v>1116</v>
      </c>
      <c r="Y7" s="85" t="s">
        <v>319</v>
      </c>
      <c r="Z7" s="86">
        <v>42936</v>
      </c>
      <c r="AA7" s="86">
        <v>42966</v>
      </c>
      <c r="AB7" s="86">
        <v>43651</v>
      </c>
      <c r="AC7" s="98">
        <v>43636</v>
      </c>
    </row>
    <row r="8" spans="4:29" x14ac:dyDescent="0.25">
      <c r="D8" s="24" t="s">
        <v>25</v>
      </c>
      <c r="E8" s="24" t="s">
        <v>1117</v>
      </c>
      <c r="H8" s="75" t="s">
        <v>328</v>
      </c>
      <c r="I8" s="75" t="s">
        <v>1117</v>
      </c>
      <c r="K8">
        <f t="shared" si="0"/>
        <v>1</v>
      </c>
      <c r="M8" s="75" t="s">
        <v>329</v>
      </c>
      <c r="N8" s="75" t="s">
        <v>311</v>
      </c>
      <c r="O8" s="79">
        <v>43287</v>
      </c>
      <c r="P8" s="80" t="s">
        <v>316</v>
      </c>
      <c r="Q8" s="79">
        <v>43673</v>
      </c>
      <c r="R8" s="81">
        <v>2.4048412337321685</v>
      </c>
      <c r="S8" s="82">
        <v>18</v>
      </c>
      <c r="T8" s="83">
        <v>7541833.6100000013</v>
      </c>
      <c r="U8" s="83">
        <f>Tabla1[[#This Row],[V.I. Adj]]/1000000</f>
        <v>5.2013546198857634</v>
      </c>
      <c r="V8" s="84" t="s">
        <v>317</v>
      </c>
      <c r="W8" s="84" t="s">
        <v>317</v>
      </c>
      <c r="X8" s="75" t="s">
        <v>1117</v>
      </c>
      <c r="Y8" s="85" t="s">
        <v>319</v>
      </c>
      <c r="Z8" s="86">
        <v>42936</v>
      </c>
      <c r="AA8" s="86">
        <v>42966</v>
      </c>
      <c r="AB8" s="86">
        <v>43328</v>
      </c>
      <c r="AC8" s="98">
        <v>43312</v>
      </c>
    </row>
    <row r="9" spans="4:29" x14ac:dyDescent="0.25">
      <c r="D9" s="23" t="s">
        <v>21</v>
      </c>
      <c r="E9" s="23" t="s">
        <v>1118</v>
      </c>
      <c r="H9" s="75" t="s">
        <v>331</v>
      </c>
      <c r="I9" s="75" t="s">
        <v>1118</v>
      </c>
      <c r="K9">
        <f t="shared" si="0"/>
        <v>1</v>
      </c>
      <c r="M9" s="75" t="s">
        <v>332</v>
      </c>
      <c r="N9" s="75" t="s">
        <v>311</v>
      </c>
      <c r="O9" s="79">
        <v>43287</v>
      </c>
      <c r="P9" s="80" t="s">
        <v>316</v>
      </c>
      <c r="Q9" s="79">
        <v>43673</v>
      </c>
      <c r="R9" s="81">
        <v>11.214823480303407</v>
      </c>
      <c r="S9" s="82">
        <v>28</v>
      </c>
      <c r="T9" s="83">
        <v>12158021</v>
      </c>
      <c r="U9" s="83">
        <f>Tabla1[[#This Row],[V.I. Adj]]/1000000</f>
        <v>1.5733462823695368</v>
      </c>
      <c r="V9" s="84" t="s">
        <v>317</v>
      </c>
      <c r="W9" s="84" t="s">
        <v>317</v>
      </c>
      <c r="X9" s="75" t="s">
        <v>1118</v>
      </c>
      <c r="Y9" s="85" t="s">
        <v>319</v>
      </c>
      <c r="Z9" s="86">
        <v>42936</v>
      </c>
      <c r="AA9" s="86">
        <v>42966</v>
      </c>
      <c r="AB9" s="86">
        <v>43340</v>
      </c>
      <c r="AC9" s="98">
        <v>43312</v>
      </c>
    </row>
    <row r="10" spans="4:29" x14ac:dyDescent="0.25">
      <c r="D10" s="24" t="s">
        <v>29</v>
      </c>
      <c r="E10" s="24" t="s">
        <v>1119</v>
      </c>
      <c r="H10" s="75" t="s">
        <v>335</v>
      </c>
      <c r="I10" s="75" t="s">
        <v>1119</v>
      </c>
      <c r="K10">
        <f t="shared" si="0"/>
        <v>1</v>
      </c>
      <c r="M10" s="75" t="s">
        <v>336</v>
      </c>
      <c r="N10" s="75" t="s">
        <v>311</v>
      </c>
      <c r="O10" s="79">
        <v>43287</v>
      </c>
      <c r="P10" s="80" t="s">
        <v>316</v>
      </c>
      <c r="Q10" s="79">
        <v>43673</v>
      </c>
      <c r="R10" s="81">
        <v>4.5882675697330493</v>
      </c>
      <c r="S10" s="82">
        <v>24</v>
      </c>
      <c r="T10" s="83">
        <v>5237634.7032609265</v>
      </c>
      <c r="U10" s="83">
        <f>Tabla1[[#This Row],[V.I. Adj]]/1000000</f>
        <v>1.961543174483773</v>
      </c>
      <c r="V10" s="84" t="s">
        <v>317</v>
      </c>
      <c r="W10" s="84" t="s">
        <v>317</v>
      </c>
      <c r="X10" s="75" t="s">
        <v>1119</v>
      </c>
      <c r="Y10" s="85" t="s">
        <v>319</v>
      </c>
      <c r="Z10" s="86">
        <v>42936</v>
      </c>
      <c r="AA10" s="86">
        <v>42966</v>
      </c>
      <c r="AB10" s="86">
        <v>43328</v>
      </c>
      <c r="AC10" s="98">
        <v>43312</v>
      </c>
    </row>
    <row r="11" spans="4:29" x14ac:dyDescent="0.25">
      <c r="D11" s="23" t="s">
        <v>30</v>
      </c>
      <c r="E11" s="23" t="s">
        <v>1120</v>
      </c>
      <c r="H11" s="75" t="s">
        <v>339</v>
      </c>
      <c r="I11" s="75" t="s">
        <v>1120</v>
      </c>
      <c r="K11">
        <f t="shared" si="0"/>
        <v>1</v>
      </c>
      <c r="M11" s="75" t="s">
        <v>336</v>
      </c>
      <c r="N11" s="75" t="s">
        <v>311</v>
      </c>
      <c r="O11" s="79">
        <v>43287</v>
      </c>
      <c r="P11" s="80" t="s">
        <v>316</v>
      </c>
      <c r="Q11" s="79">
        <v>43673</v>
      </c>
      <c r="R11" s="81">
        <v>4.556485526996501</v>
      </c>
      <c r="S11" s="82">
        <v>24</v>
      </c>
      <c r="T11" s="83">
        <v>5201354.6198857632</v>
      </c>
      <c r="U11" s="83">
        <f>Tabla1[[#This Row],[V.I. Adj]]/1000000</f>
        <v>6.9192392228590789</v>
      </c>
      <c r="V11" s="84" t="s">
        <v>317</v>
      </c>
      <c r="W11" s="84" t="s">
        <v>317</v>
      </c>
      <c r="X11" s="75" t="s">
        <v>1120</v>
      </c>
      <c r="Y11" s="85" t="s">
        <v>319</v>
      </c>
      <c r="Z11" s="86">
        <v>42936</v>
      </c>
      <c r="AA11" s="86">
        <v>42966</v>
      </c>
      <c r="AB11" s="86">
        <v>43328</v>
      </c>
      <c r="AC11" s="98">
        <v>43312</v>
      </c>
    </row>
    <row r="12" spans="4:29" x14ac:dyDescent="0.25">
      <c r="D12" s="24" t="s">
        <v>31</v>
      </c>
      <c r="E12" s="24" t="s">
        <v>1121</v>
      </c>
      <c r="H12" s="75" t="s">
        <v>341</v>
      </c>
      <c r="I12" s="75" t="s">
        <v>1121</v>
      </c>
      <c r="K12">
        <f t="shared" si="0"/>
        <v>1</v>
      </c>
      <c r="M12" s="75" t="s">
        <v>336</v>
      </c>
      <c r="N12" s="75" t="s">
        <v>311</v>
      </c>
      <c r="O12" s="79">
        <v>43287</v>
      </c>
      <c r="P12" s="80" t="s">
        <v>316</v>
      </c>
      <c r="Q12" s="79">
        <v>43673</v>
      </c>
      <c r="R12" s="81">
        <v>1.3782812533416524</v>
      </c>
      <c r="S12" s="82">
        <v>18</v>
      </c>
      <c r="T12" s="83">
        <v>1573346.2823695368</v>
      </c>
      <c r="U12" s="83">
        <f>Tabla1[[#This Row],[V.I. Adj]]/1000000</f>
        <v>11.096138832960706</v>
      </c>
      <c r="V12" s="84" t="s">
        <v>317</v>
      </c>
      <c r="W12" s="84" t="s">
        <v>317</v>
      </c>
      <c r="X12" s="75" t="s">
        <v>1121</v>
      </c>
      <c r="Y12" s="85" t="s">
        <v>319</v>
      </c>
      <c r="Z12" s="86">
        <v>42936</v>
      </c>
      <c r="AA12" s="86">
        <v>42966</v>
      </c>
      <c r="AB12" s="86">
        <v>43328</v>
      </c>
      <c r="AC12" s="98">
        <v>43312</v>
      </c>
    </row>
    <row r="13" spans="4:29" x14ac:dyDescent="0.25">
      <c r="D13" s="23" t="s">
        <v>32</v>
      </c>
      <c r="E13" s="23" t="s">
        <v>1122</v>
      </c>
      <c r="H13" s="75" t="s">
        <v>343</v>
      </c>
      <c r="I13" s="75" t="s">
        <v>1122</v>
      </c>
      <c r="K13">
        <f t="shared" si="0"/>
        <v>1</v>
      </c>
      <c r="M13" s="75" t="s">
        <v>336</v>
      </c>
      <c r="N13" s="75" t="s">
        <v>311</v>
      </c>
      <c r="O13" s="79">
        <v>43287</v>
      </c>
      <c r="P13" s="80" t="s">
        <v>316</v>
      </c>
      <c r="Q13" s="79">
        <v>43673</v>
      </c>
      <c r="R13" s="81">
        <v>1.7183491106227213</v>
      </c>
      <c r="S13" s="82">
        <v>24</v>
      </c>
      <c r="T13" s="83">
        <v>1961543.1744837731</v>
      </c>
      <c r="U13" s="83">
        <f>Tabla1[[#This Row],[V.I. Adj]]/1000000</f>
        <v>2.3048901868157183</v>
      </c>
      <c r="V13" s="84" t="s">
        <v>317</v>
      </c>
      <c r="W13" s="84" t="s">
        <v>317</v>
      </c>
      <c r="X13" s="75" t="s">
        <v>1122</v>
      </c>
      <c r="Y13" s="85" t="s">
        <v>319</v>
      </c>
      <c r="Z13" s="86">
        <v>42936</v>
      </c>
      <c r="AA13" s="86">
        <v>42966</v>
      </c>
      <c r="AB13" s="86">
        <v>43287</v>
      </c>
      <c r="AC13" s="98">
        <v>43312</v>
      </c>
    </row>
    <row r="14" spans="4:29" x14ac:dyDescent="0.25">
      <c r="D14" s="77" t="s">
        <v>16</v>
      </c>
      <c r="E14" s="24" t="s">
        <v>1123</v>
      </c>
      <c r="H14" s="75" t="s">
        <v>16</v>
      </c>
      <c r="I14" s="75" t="s">
        <v>1123</v>
      </c>
      <c r="K14">
        <f t="shared" si="0"/>
        <v>1</v>
      </c>
      <c r="M14" s="75" t="s">
        <v>336</v>
      </c>
      <c r="N14" s="75" t="s">
        <v>311</v>
      </c>
      <c r="O14" s="79">
        <v>43287</v>
      </c>
      <c r="P14" s="80" t="s">
        <v>316</v>
      </c>
      <c r="Q14" s="79">
        <v>43673</v>
      </c>
      <c r="R14" s="81">
        <v>6.4178538299336898</v>
      </c>
      <c r="S14" s="82">
        <v>24</v>
      </c>
      <c r="T14" s="83">
        <v>6919239.222859079</v>
      </c>
      <c r="U14" s="83">
        <f>Tabla1[[#This Row],[V.I. Adj]]/1000000</f>
        <v>2.0901630534552842</v>
      </c>
      <c r="V14" s="84" t="s">
        <v>317</v>
      </c>
      <c r="W14" s="84" t="s">
        <v>317</v>
      </c>
      <c r="X14" s="75" t="s">
        <v>1123</v>
      </c>
      <c r="Y14" s="85" t="s">
        <v>319</v>
      </c>
      <c r="Z14" s="86">
        <v>42936</v>
      </c>
      <c r="AA14" s="86">
        <v>42966</v>
      </c>
      <c r="AB14" s="86">
        <v>43333</v>
      </c>
      <c r="AC14" s="98">
        <v>43312</v>
      </c>
    </row>
    <row r="15" spans="4:29" x14ac:dyDescent="0.25">
      <c r="D15" s="78" t="s">
        <v>38</v>
      </c>
      <c r="E15" s="23" t="s">
        <v>1124</v>
      </c>
      <c r="H15" s="75" t="s">
        <v>347</v>
      </c>
      <c r="I15" s="75" t="s">
        <v>1124</v>
      </c>
      <c r="K15">
        <f t="shared" si="0"/>
        <v>1</v>
      </c>
      <c r="M15" s="75" t="s">
        <v>336</v>
      </c>
      <c r="N15" s="75" t="s">
        <v>311</v>
      </c>
      <c r="O15" s="79">
        <v>43287</v>
      </c>
      <c r="P15" s="80" t="s">
        <v>316</v>
      </c>
      <c r="Q15" s="79">
        <v>43673</v>
      </c>
      <c r="R15" s="81">
        <v>10.292084839518951</v>
      </c>
      <c r="S15" s="82">
        <v>24</v>
      </c>
      <c r="T15" s="83">
        <v>11096138.832960706</v>
      </c>
      <c r="U15" s="83">
        <f>Tabla1[[#This Row],[V.I. Adj]]/1000000</f>
        <v>2.8771151539092141</v>
      </c>
      <c r="V15" s="84" t="s">
        <v>317</v>
      </c>
      <c r="W15" s="84" t="s">
        <v>317</v>
      </c>
      <c r="X15" s="75" t="s">
        <v>1124</v>
      </c>
      <c r="Y15" s="85" t="s">
        <v>319</v>
      </c>
      <c r="Z15" s="86">
        <v>42936</v>
      </c>
      <c r="AA15" s="86">
        <v>42966</v>
      </c>
      <c r="AB15" s="86">
        <v>43333</v>
      </c>
      <c r="AC15" s="98">
        <v>43312</v>
      </c>
    </row>
    <row r="16" spans="4:29" x14ac:dyDescent="0.25">
      <c r="D16" s="77" t="s">
        <v>36</v>
      </c>
      <c r="E16" s="24" t="s">
        <v>1125</v>
      </c>
      <c r="H16" s="75" t="s">
        <v>349</v>
      </c>
      <c r="I16" s="75" t="s">
        <v>1125</v>
      </c>
      <c r="K16">
        <f t="shared" si="0"/>
        <v>1</v>
      </c>
      <c r="M16" s="75" t="s">
        <v>336</v>
      </c>
      <c r="N16" s="75" t="s">
        <v>311</v>
      </c>
      <c r="O16" s="79">
        <v>43287</v>
      </c>
      <c r="P16" s="80" t="s">
        <v>316</v>
      </c>
      <c r="Q16" s="79">
        <v>43673</v>
      </c>
      <c r="R16" s="81">
        <v>2.1378720747451614</v>
      </c>
      <c r="S16" s="82">
        <v>18</v>
      </c>
      <c r="T16" s="83">
        <v>2304890.1868157182</v>
      </c>
      <c r="U16" s="83">
        <f>Tabla1[[#This Row],[V.I. Adj]]/1000000</f>
        <v>12.193505</v>
      </c>
      <c r="V16" s="84" t="s">
        <v>317</v>
      </c>
      <c r="W16" s="84" t="s">
        <v>317</v>
      </c>
      <c r="X16" s="75" t="s">
        <v>1125</v>
      </c>
      <c r="Y16" s="85" t="s">
        <v>319</v>
      </c>
      <c r="Z16" s="86">
        <v>42936</v>
      </c>
      <c r="AA16" s="86">
        <v>42966</v>
      </c>
      <c r="AB16" s="86">
        <v>43333</v>
      </c>
      <c r="AC16" s="98">
        <v>43312</v>
      </c>
    </row>
    <row r="17" spans="4:29" x14ac:dyDescent="0.25">
      <c r="D17" s="78" t="s">
        <v>37</v>
      </c>
      <c r="E17" s="23" t="s">
        <v>1126</v>
      </c>
      <c r="H17" s="75" t="s">
        <v>351</v>
      </c>
      <c r="I17" s="75" t="s">
        <v>1126</v>
      </c>
      <c r="K17">
        <f t="shared" si="0"/>
        <v>1</v>
      </c>
      <c r="M17" s="75" t="s">
        <v>336</v>
      </c>
      <c r="N17" s="75" t="s">
        <v>311</v>
      </c>
      <c r="O17" s="79">
        <v>43287</v>
      </c>
      <c r="P17" s="80" t="s">
        <v>316</v>
      </c>
      <c r="Q17" s="79">
        <v>43673</v>
      </c>
      <c r="R17" s="81">
        <v>1.9387046069294573</v>
      </c>
      <c r="S17" s="82">
        <v>18</v>
      </c>
      <c r="T17" s="83">
        <v>2090163.0534552843</v>
      </c>
      <c r="U17" s="83" t="e">
        <f>Tabla1[[#This Row],[V.I. Adj]]/1000000</f>
        <v>#VALUE!</v>
      </c>
      <c r="V17" s="84" t="s">
        <v>317</v>
      </c>
      <c r="W17" s="84" t="s">
        <v>317</v>
      </c>
      <c r="X17" s="75" t="s">
        <v>1126</v>
      </c>
      <c r="Y17" s="85" t="s">
        <v>319</v>
      </c>
      <c r="Z17" s="86">
        <v>42936</v>
      </c>
      <c r="AA17" s="86">
        <v>42966</v>
      </c>
      <c r="AB17" s="86">
        <v>43333</v>
      </c>
      <c r="AC17" s="98">
        <v>43312</v>
      </c>
    </row>
    <row r="18" spans="4:29" x14ac:dyDescent="0.25">
      <c r="D18" s="24" t="s">
        <v>42</v>
      </c>
      <c r="E18" s="24" t="s">
        <v>1127</v>
      </c>
      <c r="H18" s="75" t="s">
        <v>353</v>
      </c>
      <c r="I18" s="75" t="s">
        <v>1127</v>
      </c>
      <c r="K18">
        <f t="shared" si="0"/>
        <v>1</v>
      </c>
      <c r="M18" s="75" t="s">
        <v>336</v>
      </c>
      <c r="N18" s="75" t="s">
        <v>311</v>
      </c>
      <c r="O18" s="79">
        <v>43287</v>
      </c>
      <c r="P18" s="80" t="s">
        <v>316</v>
      </c>
      <c r="Q18" s="79">
        <v>43673</v>
      </c>
      <c r="R18" s="81">
        <v>2.6686321884455211</v>
      </c>
      <c r="S18" s="82">
        <v>18</v>
      </c>
      <c r="T18" s="83">
        <v>2877115.1539092143</v>
      </c>
      <c r="U18" s="83">
        <f>Tabla1[[#This Row],[V.I. Adj]]/1000000</f>
        <v>1.5139432500000001</v>
      </c>
      <c r="V18" s="84" t="s">
        <v>317</v>
      </c>
      <c r="W18" s="84" t="s">
        <v>317</v>
      </c>
      <c r="X18" s="75" t="s">
        <v>1127</v>
      </c>
      <c r="Y18" s="85" t="s">
        <v>319</v>
      </c>
      <c r="Z18" s="86">
        <v>42936</v>
      </c>
      <c r="AA18" s="86">
        <v>42966</v>
      </c>
      <c r="AB18" s="86">
        <v>43333</v>
      </c>
      <c r="AC18" s="98">
        <v>43312</v>
      </c>
    </row>
    <row r="19" spans="4:29" x14ac:dyDescent="0.25">
      <c r="D19" s="23" t="s">
        <v>845</v>
      </c>
      <c r="E19" s="23" t="s">
        <v>1128</v>
      </c>
      <c r="H19" s="75" t="s">
        <v>356</v>
      </c>
      <c r="I19" s="75" t="s">
        <v>1128</v>
      </c>
      <c r="K19">
        <f t="shared" si="0"/>
        <v>1</v>
      </c>
      <c r="M19" s="75" t="s">
        <v>332</v>
      </c>
      <c r="N19" s="75" t="s">
        <v>311</v>
      </c>
      <c r="O19" s="79">
        <v>43287</v>
      </c>
      <c r="P19" s="80" t="s">
        <v>316</v>
      </c>
      <c r="Q19" s="79">
        <v>43673</v>
      </c>
      <c r="R19" s="81">
        <v>10.706310796518633</v>
      </c>
      <c r="S19" s="82">
        <v>36</v>
      </c>
      <c r="T19" s="83">
        <v>12193505</v>
      </c>
      <c r="U19" s="83">
        <f>Tabla1[[#This Row],[V.I. Adj]]/1000000</f>
        <v>0.41871532</v>
      </c>
      <c r="V19" s="84" t="s">
        <v>317</v>
      </c>
      <c r="W19" s="84" t="s">
        <v>317</v>
      </c>
      <c r="X19" s="75" t="s">
        <v>1128</v>
      </c>
      <c r="Y19" s="85" t="s">
        <v>319</v>
      </c>
      <c r="Z19" s="86">
        <v>42936</v>
      </c>
      <c r="AA19" s="86">
        <v>42966</v>
      </c>
      <c r="AB19" s="86">
        <v>43333</v>
      </c>
      <c r="AC19" s="98">
        <v>43312</v>
      </c>
    </row>
    <row r="20" spans="4:29" x14ac:dyDescent="0.25">
      <c r="D20" s="24" t="s">
        <v>1181</v>
      </c>
      <c r="E20" s="24" t="s">
        <v>1129</v>
      </c>
      <c r="H20" s="75" t="s">
        <v>360</v>
      </c>
      <c r="I20" s="75" t="s">
        <v>1129</v>
      </c>
      <c r="K20">
        <f t="shared" si="0"/>
        <v>1</v>
      </c>
      <c r="M20" s="75" t="s">
        <v>361</v>
      </c>
      <c r="N20" s="75" t="s">
        <v>319</v>
      </c>
      <c r="O20" s="82" t="s">
        <v>317</v>
      </c>
      <c r="P20" s="82" t="s">
        <v>317</v>
      </c>
      <c r="Q20" s="82" t="s">
        <v>317</v>
      </c>
      <c r="R20" s="81">
        <v>3.6199746676928721</v>
      </c>
      <c r="S20" s="82">
        <v>24</v>
      </c>
      <c r="T20" s="88" t="s">
        <v>319</v>
      </c>
      <c r="U20" s="89" t="s">
        <v>319</v>
      </c>
      <c r="V20" s="84" t="s">
        <v>317</v>
      </c>
      <c r="W20" s="84" t="s">
        <v>317</v>
      </c>
      <c r="X20" s="75" t="s">
        <v>1129</v>
      </c>
      <c r="Y20" s="85" t="s">
        <v>319</v>
      </c>
      <c r="Z20" s="86">
        <v>42936</v>
      </c>
      <c r="AA20" s="86">
        <v>42966</v>
      </c>
      <c r="AB20" s="90" t="s">
        <v>317</v>
      </c>
      <c r="AC20" s="99" t="s">
        <v>317</v>
      </c>
    </row>
    <row r="21" spans="4:29" x14ac:dyDescent="0.25">
      <c r="D21" s="23" t="s">
        <v>35</v>
      </c>
      <c r="E21" s="23" t="s">
        <v>1130</v>
      </c>
      <c r="H21" s="75" t="s">
        <v>364</v>
      </c>
      <c r="I21" s="75" t="s">
        <v>1130</v>
      </c>
      <c r="K21">
        <f t="shared" si="0"/>
        <v>1</v>
      </c>
      <c r="M21" s="75" t="s">
        <v>195</v>
      </c>
      <c r="N21" s="75" t="s">
        <v>363</v>
      </c>
      <c r="O21" s="79">
        <v>44005</v>
      </c>
      <c r="P21" s="82" t="s">
        <v>317</v>
      </c>
      <c r="Q21" s="82" t="s">
        <v>317</v>
      </c>
      <c r="R21" s="81">
        <v>0.97676811343659009</v>
      </c>
      <c r="S21" s="82">
        <v>18</v>
      </c>
      <c r="T21" s="83">
        <v>1513943.25</v>
      </c>
      <c r="U21" s="83">
        <f>Tabla1[[#This Row],[V.I. Adj]]/1000000</f>
        <v>5.6744938972842158</v>
      </c>
      <c r="V21" s="84" t="s">
        <v>317</v>
      </c>
      <c r="W21" s="84" t="s">
        <v>317</v>
      </c>
      <c r="X21" s="75" t="s">
        <v>1130</v>
      </c>
      <c r="Y21" s="91">
        <v>293</v>
      </c>
      <c r="Z21" s="86">
        <v>42936</v>
      </c>
      <c r="AA21" s="86">
        <v>42966</v>
      </c>
      <c r="AB21" s="90" t="s">
        <v>317</v>
      </c>
      <c r="AC21" s="99" t="s">
        <v>317</v>
      </c>
    </row>
    <row r="22" spans="4:29" x14ac:dyDescent="0.25">
      <c r="D22" s="24" t="s">
        <v>41</v>
      </c>
      <c r="E22" s="24" t="s">
        <v>1131</v>
      </c>
      <c r="H22" s="75" t="s">
        <v>366</v>
      </c>
      <c r="I22" s="75" t="s">
        <v>1131</v>
      </c>
      <c r="K22">
        <f t="shared" si="0"/>
        <v>1</v>
      </c>
      <c r="M22" s="75" t="s">
        <v>195</v>
      </c>
      <c r="N22" s="75" t="s">
        <v>363</v>
      </c>
      <c r="O22" s="79">
        <v>44005</v>
      </c>
      <c r="P22" s="82" t="s">
        <v>317</v>
      </c>
      <c r="Q22" s="82" t="s">
        <v>317</v>
      </c>
      <c r="R22" s="81">
        <v>0.27014736326066213</v>
      </c>
      <c r="S22" s="82">
        <v>18</v>
      </c>
      <c r="T22" s="83">
        <v>418715.32</v>
      </c>
      <c r="U22" s="83">
        <f>Tabla1[[#This Row],[V.I. Adj]]/1000000</f>
        <v>4.2348225969346593</v>
      </c>
      <c r="V22" s="84" t="s">
        <v>317</v>
      </c>
      <c r="W22" s="84" t="s">
        <v>317</v>
      </c>
      <c r="X22" s="75" t="s">
        <v>1131</v>
      </c>
      <c r="Y22" s="91">
        <v>418</v>
      </c>
      <c r="Z22" s="86">
        <v>42936</v>
      </c>
      <c r="AA22" s="86">
        <v>42966</v>
      </c>
      <c r="AB22" s="90" t="s">
        <v>317</v>
      </c>
      <c r="AC22" s="99" t="s">
        <v>317</v>
      </c>
    </row>
    <row r="23" spans="4:29" x14ac:dyDescent="0.25">
      <c r="D23" s="23" t="s">
        <v>39</v>
      </c>
      <c r="E23" s="23" t="s">
        <v>1132</v>
      </c>
      <c r="H23" s="75" t="s">
        <v>368</v>
      </c>
      <c r="I23" s="75" t="s">
        <v>1132</v>
      </c>
      <c r="K23">
        <f t="shared" si="0"/>
        <v>1</v>
      </c>
      <c r="M23" s="75" t="s">
        <v>195</v>
      </c>
      <c r="N23" s="75" t="s">
        <v>363</v>
      </c>
      <c r="O23" s="79">
        <v>44005</v>
      </c>
      <c r="P23" s="82" t="s">
        <v>317</v>
      </c>
      <c r="Q23" s="82" t="s">
        <v>317</v>
      </c>
      <c r="R23" s="81">
        <v>2.0075656995253124</v>
      </c>
      <c r="S23" s="82">
        <v>18</v>
      </c>
      <c r="T23" s="83">
        <v>3111629.57</v>
      </c>
      <c r="U23" s="83">
        <f>Tabla1[[#This Row],[V.I. Adj]]/1000000</f>
        <v>5.7192514955372609</v>
      </c>
      <c r="V23" s="84" t="s">
        <v>317</v>
      </c>
      <c r="W23" s="84" t="s">
        <v>317</v>
      </c>
      <c r="X23" s="75" t="s">
        <v>1132</v>
      </c>
      <c r="Y23" s="91">
        <v>418</v>
      </c>
      <c r="Z23" s="86">
        <v>42936</v>
      </c>
      <c r="AA23" s="86">
        <v>42966</v>
      </c>
      <c r="AB23" s="90" t="s">
        <v>317</v>
      </c>
      <c r="AC23" s="99" t="s">
        <v>317</v>
      </c>
    </row>
    <row r="24" spans="4:29" x14ac:dyDescent="0.25">
      <c r="D24" s="24" t="s">
        <v>1182</v>
      </c>
      <c r="E24" s="24" t="s">
        <v>1133</v>
      </c>
      <c r="H24" s="75" t="s">
        <v>370</v>
      </c>
      <c r="I24" s="75" t="s">
        <v>1133</v>
      </c>
      <c r="K24">
        <f t="shared" si="0"/>
        <v>1</v>
      </c>
      <c r="M24" s="75" t="s">
        <v>315</v>
      </c>
      <c r="N24" s="75" t="s">
        <v>311</v>
      </c>
      <c r="O24" s="79">
        <v>43287</v>
      </c>
      <c r="P24" s="80" t="s">
        <v>316</v>
      </c>
      <c r="Q24" s="79">
        <v>43673</v>
      </c>
      <c r="R24" s="81">
        <v>2.8561462405911571</v>
      </c>
      <c r="S24" s="82">
        <v>18</v>
      </c>
      <c r="T24" s="83">
        <v>5674493.8972842162</v>
      </c>
      <c r="U24" s="83">
        <f>Tabla1[[#This Row],[V.I. Adj]]/1000000</f>
        <v>5.7460565057811239</v>
      </c>
      <c r="V24" s="84" t="s">
        <v>317</v>
      </c>
      <c r="W24" s="84" t="s">
        <v>317</v>
      </c>
      <c r="X24" s="75" t="s">
        <v>1133</v>
      </c>
      <c r="Y24" s="85" t="s">
        <v>319</v>
      </c>
      <c r="Z24" s="86">
        <v>42936</v>
      </c>
      <c r="AA24" s="86">
        <v>42966</v>
      </c>
      <c r="AB24" s="86">
        <v>43333</v>
      </c>
      <c r="AC24" s="98">
        <v>43312</v>
      </c>
    </row>
    <row r="25" spans="4:29" x14ac:dyDescent="0.25">
      <c r="D25" s="23" t="s">
        <v>1183</v>
      </c>
      <c r="E25" s="23" t="s">
        <v>1134</v>
      </c>
      <c r="H25" s="75" t="s">
        <v>372</v>
      </c>
      <c r="I25" s="75" t="s">
        <v>1134</v>
      </c>
      <c r="K25">
        <f t="shared" si="0"/>
        <v>1</v>
      </c>
      <c r="M25" s="75" t="s">
        <v>315</v>
      </c>
      <c r="N25" s="75" t="s">
        <v>311</v>
      </c>
      <c r="O25" s="79">
        <v>43287</v>
      </c>
      <c r="P25" s="80" t="s">
        <v>316</v>
      </c>
      <c r="Q25" s="79">
        <v>43673</v>
      </c>
      <c r="R25" s="81">
        <v>2.1315156661978514</v>
      </c>
      <c r="S25" s="82">
        <v>18</v>
      </c>
      <c r="T25" s="83">
        <v>4234822.5969346594</v>
      </c>
      <c r="U25" s="83">
        <f>Tabla1[[#This Row],[V.I. Adj]]/1000000</f>
        <v>1.7647035988919666</v>
      </c>
      <c r="V25" s="84" t="s">
        <v>317</v>
      </c>
      <c r="W25" s="84" t="s">
        <v>317</v>
      </c>
      <c r="X25" s="75" t="s">
        <v>1134</v>
      </c>
      <c r="Y25" s="85" t="s">
        <v>319</v>
      </c>
      <c r="Z25" s="86">
        <v>42936</v>
      </c>
      <c r="AA25" s="86">
        <v>42966</v>
      </c>
      <c r="AB25" s="86">
        <v>43333</v>
      </c>
      <c r="AC25" s="98">
        <v>43312</v>
      </c>
    </row>
    <row r="26" spans="4:29" x14ac:dyDescent="0.25">
      <c r="D26" s="24" t="s">
        <v>1184</v>
      </c>
      <c r="E26" s="24" t="s">
        <v>1135</v>
      </c>
      <c r="H26" s="75" t="s">
        <v>374</v>
      </c>
      <c r="I26" s="75" t="s">
        <v>1135</v>
      </c>
      <c r="K26">
        <f t="shared" si="0"/>
        <v>1</v>
      </c>
      <c r="M26" s="75" t="s">
        <v>332</v>
      </c>
      <c r="N26" s="75" t="s">
        <v>311</v>
      </c>
      <c r="O26" s="79">
        <v>43287</v>
      </c>
      <c r="P26" s="80" t="s">
        <v>316</v>
      </c>
      <c r="Q26" s="79">
        <v>43673</v>
      </c>
      <c r="R26" s="81">
        <v>4.3721496791245187</v>
      </c>
      <c r="S26" s="82">
        <v>18</v>
      </c>
      <c r="T26" s="83">
        <v>5719251.4955372605</v>
      </c>
      <c r="U26" s="83">
        <f>Tabla1[[#This Row],[V.I. Adj]]/1000000</f>
        <v>2.4099884011080328</v>
      </c>
      <c r="V26" s="84" t="s">
        <v>317</v>
      </c>
      <c r="W26" s="84" t="s">
        <v>317</v>
      </c>
      <c r="X26" s="75" t="s">
        <v>1135</v>
      </c>
      <c r="Y26" s="85" t="s">
        <v>319</v>
      </c>
      <c r="Z26" s="86">
        <v>42936</v>
      </c>
      <c r="AA26" s="86">
        <v>42966</v>
      </c>
      <c r="AB26" s="86">
        <v>43333</v>
      </c>
      <c r="AC26" s="98">
        <v>43312</v>
      </c>
    </row>
    <row r="27" spans="4:29" x14ac:dyDescent="0.25">
      <c r="D27" s="23" t="s">
        <v>1185</v>
      </c>
      <c r="E27" s="23" t="s">
        <v>1136</v>
      </c>
      <c r="H27" s="75" t="s">
        <v>376</v>
      </c>
      <c r="I27" s="75" t="s">
        <v>1136</v>
      </c>
      <c r="K27">
        <f t="shared" si="0"/>
        <v>1</v>
      </c>
      <c r="M27" s="75" t="s">
        <v>315</v>
      </c>
      <c r="N27" s="75" t="s">
        <v>311</v>
      </c>
      <c r="O27" s="79">
        <v>43287</v>
      </c>
      <c r="P27" s="80" t="s">
        <v>316</v>
      </c>
      <c r="Q27" s="79">
        <v>43673</v>
      </c>
      <c r="R27" s="81">
        <v>2.8921658890259119</v>
      </c>
      <c r="S27" s="82">
        <v>18</v>
      </c>
      <c r="T27" s="83">
        <v>5746056.5057811243</v>
      </c>
      <c r="U27" s="83">
        <f>Tabla1[[#This Row],[V.I. Adj]]/1000000</f>
        <v>18.6738342385182</v>
      </c>
      <c r="V27" s="84" t="s">
        <v>317</v>
      </c>
      <c r="W27" s="84" t="s">
        <v>317</v>
      </c>
      <c r="X27" s="75" t="s">
        <v>1136</v>
      </c>
      <c r="Y27" s="85" t="s">
        <v>319</v>
      </c>
      <c r="Z27" s="86">
        <v>42936</v>
      </c>
      <c r="AA27" s="86">
        <v>42966</v>
      </c>
      <c r="AB27" s="86">
        <v>43333</v>
      </c>
      <c r="AC27" s="98">
        <v>43312</v>
      </c>
    </row>
    <row r="28" spans="4:29" x14ac:dyDescent="0.25">
      <c r="D28" s="24" t="s">
        <v>1186</v>
      </c>
      <c r="E28" s="24" t="s">
        <v>1137</v>
      </c>
      <c r="H28" s="75" t="s">
        <v>378</v>
      </c>
      <c r="I28" s="75" t="s">
        <v>1137</v>
      </c>
      <c r="K28">
        <f t="shared" si="0"/>
        <v>1</v>
      </c>
      <c r="M28" s="75" t="s">
        <v>170</v>
      </c>
      <c r="N28" s="75" t="s">
        <v>311</v>
      </c>
      <c r="O28" s="79">
        <v>43287</v>
      </c>
      <c r="P28" s="80" t="s">
        <v>316</v>
      </c>
      <c r="Q28" s="79">
        <v>43673</v>
      </c>
      <c r="R28" s="81">
        <v>1.616646573865766</v>
      </c>
      <c r="S28" s="82">
        <v>18</v>
      </c>
      <c r="T28" s="83">
        <v>1764703.5988919665</v>
      </c>
      <c r="U28" s="83">
        <f>Tabla1[[#This Row],[V.I. Adj]]/1000000</f>
        <v>3.7957426329722703</v>
      </c>
      <c r="V28" s="84" t="s">
        <v>317</v>
      </c>
      <c r="W28" s="84" t="s">
        <v>317</v>
      </c>
      <c r="X28" s="75" t="s">
        <v>1137</v>
      </c>
      <c r="Y28" s="85" t="s">
        <v>319</v>
      </c>
      <c r="Z28" s="86">
        <v>42936</v>
      </c>
      <c r="AA28" s="86">
        <v>42966</v>
      </c>
      <c r="AB28" s="86">
        <v>43333</v>
      </c>
      <c r="AC28" s="98">
        <v>43312</v>
      </c>
    </row>
    <row r="29" spans="4:29" x14ac:dyDescent="0.25">
      <c r="D29" s="23" t="s">
        <v>1187</v>
      </c>
      <c r="E29" s="23" t="s">
        <v>1138</v>
      </c>
      <c r="H29" s="75" t="s">
        <v>380</v>
      </c>
      <c r="I29" s="75" t="s">
        <v>1138</v>
      </c>
      <c r="K29">
        <f t="shared" si="0"/>
        <v>1</v>
      </c>
      <c r="M29" s="75" t="s">
        <v>170</v>
      </c>
      <c r="N29" s="75" t="s">
        <v>311</v>
      </c>
      <c r="O29" s="79">
        <v>43287</v>
      </c>
      <c r="P29" s="80" t="s">
        <v>316</v>
      </c>
      <c r="Q29" s="79">
        <v>43673</v>
      </c>
      <c r="R29" s="81">
        <v>2.207792568765568</v>
      </c>
      <c r="S29" s="82">
        <v>18</v>
      </c>
      <c r="T29" s="83">
        <v>2409988.401108033</v>
      </c>
      <c r="U29" s="83">
        <f>Tabla1[[#This Row],[V.I. Adj]]/1000000</f>
        <v>3.7957426329722703</v>
      </c>
      <c r="V29" s="84" t="s">
        <v>317</v>
      </c>
      <c r="W29" s="84" t="s">
        <v>317</v>
      </c>
      <c r="X29" s="75" t="s">
        <v>1138</v>
      </c>
      <c r="Y29" s="85" t="s">
        <v>319</v>
      </c>
      <c r="Z29" s="86">
        <v>42936</v>
      </c>
      <c r="AA29" s="86">
        <v>42966</v>
      </c>
      <c r="AB29" s="86">
        <v>43332</v>
      </c>
      <c r="AC29" s="98">
        <v>43312</v>
      </c>
    </row>
    <row r="30" spans="4:29" x14ac:dyDescent="0.25">
      <c r="D30" s="24" t="s">
        <v>1188</v>
      </c>
      <c r="E30" s="24" t="s">
        <v>1139</v>
      </c>
      <c r="H30" s="75" t="s">
        <v>382</v>
      </c>
      <c r="I30" s="75" t="s">
        <v>1139</v>
      </c>
      <c r="K30">
        <f t="shared" si="0"/>
        <v>1</v>
      </c>
      <c r="M30" s="75" t="s">
        <v>332</v>
      </c>
      <c r="N30" s="75" t="s">
        <v>311</v>
      </c>
      <c r="O30" s="79">
        <v>43287</v>
      </c>
      <c r="P30" s="80" t="s">
        <v>316</v>
      </c>
      <c r="Q30" s="79">
        <v>43673</v>
      </c>
      <c r="R30" s="81">
        <v>14.275434195833027</v>
      </c>
      <c r="S30" s="82">
        <v>36</v>
      </c>
      <c r="T30" s="83">
        <v>18673834.238518201</v>
      </c>
      <c r="U30" s="83" t="e">
        <f>Tabla1[[#This Row],[V.I. Adj]]/1000000</f>
        <v>#VALUE!</v>
      </c>
      <c r="V30" s="84" t="s">
        <v>317</v>
      </c>
      <c r="W30" s="84" t="s">
        <v>317</v>
      </c>
      <c r="X30" s="75" t="s">
        <v>1139</v>
      </c>
      <c r="Y30" s="85" t="s">
        <v>319</v>
      </c>
      <c r="Z30" s="86">
        <v>42936</v>
      </c>
      <c r="AA30" s="86">
        <v>42966</v>
      </c>
      <c r="AB30" s="86">
        <v>43333</v>
      </c>
      <c r="AC30" s="98">
        <v>43312</v>
      </c>
    </row>
    <row r="31" spans="4:29" x14ac:dyDescent="0.25">
      <c r="D31" s="23" t="s">
        <v>52</v>
      </c>
      <c r="E31" s="23" t="s">
        <v>1140</v>
      </c>
      <c r="H31" s="75" t="s">
        <v>384</v>
      </c>
      <c r="I31" s="75" t="s">
        <v>1140</v>
      </c>
      <c r="K31">
        <f t="shared" si="0"/>
        <v>1</v>
      </c>
      <c r="M31" s="75" t="s">
        <v>332</v>
      </c>
      <c r="N31" s="75" t="s">
        <v>311</v>
      </c>
      <c r="O31" s="79">
        <v>43287</v>
      </c>
      <c r="P31" s="80" t="s">
        <v>316</v>
      </c>
      <c r="Q31" s="79">
        <v>43673</v>
      </c>
      <c r="R31" s="81">
        <v>2.9017005018468764</v>
      </c>
      <c r="S31" s="82">
        <v>36</v>
      </c>
      <c r="T31" s="83">
        <v>3795742.6329722703</v>
      </c>
      <c r="U31" s="83">
        <f>Tabla1[[#This Row],[V.I. Adj]]/1000000</f>
        <v>5.7899861699999997</v>
      </c>
      <c r="V31" s="84" t="s">
        <v>317</v>
      </c>
      <c r="W31" s="84" t="s">
        <v>317</v>
      </c>
      <c r="X31" s="75" t="s">
        <v>1140</v>
      </c>
      <c r="Y31" s="85" t="s">
        <v>319</v>
      </c>
      <c r="Z31" s="86">
        <v>42936</v>
      </c>
      <c r="AA31" s="86">
        <v>42966</v>
      </c>
      <c r="AB31" s="86">
        <v>43333</v>
      </c>
      <c r="AC31" s="98">
        <v>43312</v>
      </c>
    </row>
    <row r="32" spans="4:29" x14ac:dyDescent="0.25">
      <c r="D32" s="24" t="s">
        <v>53</v>
      </c>
      <c r="E32" s="24" t="s">
        <v>1141</v>
      </c>
      <c r="H32" s="75" t="s">
        <v>386</v>
      </c>
      <c r="I32" s="75" t="s">
        <v>1141</v>
      </c>
      <c r="K32">
        <f t="shared" si="0"/>
        <v>1</v>
      </c>
      <c r="M32" s="75" t="s">
        <v>332</v>
      </c>
      <c r="N32" s="75" t="s">
        <v>311</v>
      </c>
      <c r="O32" s="79">
        <v>43287</v>
      </c>
      <c r="P32" s="80" t="s">
        <v>316</v>
      </c>
      <c r="Q32" s="79">
        <v>43673</v>
      </c>
      <c r="R32" s="81">
        <v>2.9017005018468764</v>
      </c>
      <c r="S32" s="82">
        <v>36</v>
      </c>
      <c r="T32" s="83">
        <v>3795742.6329722703</v>
      </c>
      <c r="U32" s="83">
        <f>Tabla1[[#This Row],[V.I. Adj]]/1000000</f>
        <v>4.5391379199999999</v>
      </c>
      <c r="V32" s="84" t="s">
        <v>317</v>
      </c>
      <c r="W32" s="84" t="s">
        <v>317</v>
      </c>
      <c r="X32" s="75" t="s">
        <v>1141</v>
      </c>
      <c r="Y32" s="85" t="s">
        <v>319</v>
      </c>
      <c r="Z32" s="86">
        <v>42936</v>
      </c>
      <c r="AA32" s="86">
        <v>42966</v>
      </c>
      <c r="AB32" s="86">
        <v>43339</v>
      </c>
      <c r="AC32" s="98">
        <v>43312</v>
      </c>
    </row>
    <row r="33" spans="4:29" x14ac:dyDescent="0.25">
      <c r="D33" s="23" t="s">
        <v>1189</v>
      </c>
      <c r="E33" s="23" t="s">
        <v>1142</v>
      </c>
      <c r="H33" s="75" t="s">
        <v>393</v>
      </c>
      <c r="I33" s="75" t="s">
        <v>1142</v>
      </c>
      <c r="K33">
        <f t="shared" si="0"/>
        <v>1</v>
      </c>
      <c r="M33" s="75" t="s">
        <v>361</v>
      </c>
      <c r="N33" s="75" t="s">
        <v>319</v>
      </c>
      <c r="O33" s="82" t="s">
        <v>317</v>
      </c>
      <c r="P33" s="82" t="s">
        <v>317</v>
      </c>
      <c r="Q33" s="82" t="s">
        <v>317</v>
      </c>
      <c r="R33" s="81">
        <v>2.4196728536758911</v>
      </c>
      <c r="S33" s="82">
        <v>18</v>
      </c>
      <c r="T33" s="88" t="s">
        <v>319</v>
      </c>
      <c r="U33" s="92" t="s">
        <v>319</v>
      </c>
      <c r="V33" s="84" t="s">
        <v>317</v>
      </c>
      <c r="W33" s="84" t="s">
        <v>317</v>
      </c>
      <c r="X33" s="75" t="s">
        <v>1142</v>
      </c>
      <c r="Y33" s="91">
        <v>4</v>
      </c>
      <c r="Z33" s="86">
        <v>42936</v>
      </c>
      <c r="AA33" s="86">
        <v>42966</v>
      </c>
      <c r="AB33" s="90" t="s">
        <v>317</v>
      </c>
      <c r="AC33" s="98">
        <v>44515</v>
      </c>
    </row>
    <row r="34" spans="4:29" x14ac:dyDescent="0.25">
      <c r="D34" s="24" t="s">
        <v>1190</v>
      </c>
      <c r="E34" s="24" t="s">
        <v>1143</v>
      </c>
      <c r="H34" s="75" t="s">
        <v>396</v>
      </c>
      <c r="I34" s="75" t="s">
        <v>1143</v>
      </c>
      <c r="K34">
        <f t="shared" si="0"/>
        <v>1</v>
      </c>
      <c r="M34" s="75" t="s">
        <v>329</v>
      </c>
      <c r="N34" s="75" t="s">
        <v>311</v>
      </c>
      <c r="O34" s="79">
        <v>43287</v>
      </c>
      <c r="P34" s="80" t="s">
        <v>316</v>
      </c>
      <c r="Q34" s="79">
        <v>43673</v>
      </c>
      <c r="R34" s="81">
        <v>2.0721891864229609</v>
      </c>
      <c r="S34" s="82">
        <v>18</v>
      </c>
      <c r="T34" s="83">
        <v>5789986.1699999999</v>
      </c>
      <c r="U34" s="83">
        <f>Tabla1[[#This Row],[V.I. Adj]]/1000000</f>
        <v>12.522628223543485</v>
      </c>
      <c r="V34" s="84" t="s">
        <v>317</v>
      </c>
      <c r="W34" s="84" t="s">
        <v>317</v>
      </c>
      <c r="X34" s="75" t="s">
        <v>1143</v>
      </c>
      <c r="Y34" s="85" t="s">
        <v>319</v>
      </c>
      <c r="Z34" s="86">
        <v>42936</v>
      </c>
      <c r="AA34" s="86">
        <v>42966</v>
      </c>
      <c r="AB34" s="86">
        <v>43328</v>
      </c>
      <c r="AC34" s="98">
        <v>43312</v>
      </c>
    </row>
    <row r="35" spans="4:29" x14ac:dyDescent="0.25">
      <c r="D35" s="23" t="s">
        <v>1191</v>
      </c>
      <c r="E35" s="23" t="s">
        <v>1178</v>
      </c>
      <c r="H35" s="75"/>
      <c r="I35" s="75"/>
      <c r="K35">
        <f t="shared" si="0"/>
        <v>0</v>
      </c>
      <c r="M35" s="75"/>
      <c r="N35" s="75"/>
      <c r="O35" s="79"/>
      <c r="P35" s="80"/>
      <c r="Q35" s="79"/>
      <c r="R35" s="81"/>
      <c r="S35" s="82"/>
      <c r="T35" s="83"/>
      <c r="U35" s="83"/>
      <c r="V35" s="84"/>
      <c r="W35" s="84"/>
      <c r="X35" s="75"/>
      <c r="Y35" s="85"/>
      <c r="Z35" s="86"/>
      <c r="AA35" s="86"/>
      <c r="AB35" s="86"/>
      <c r="AC35" s="98"/>
    </row>
    <row r="36" spans="4:29" x14ac:dyDescent="0.25">
      <c r="D36" s="24" t="s">
        <v>1192</v>
      </c>
      <c r="E36" s="24" t="s">
        <v>1179</v>
      </c>
      <c r="H36" s="75"/>
      <c r="I36" s="75"/>
      <c r="K36">
        <f t="shared" si="0"/>
        <v>0</v>
      </c>
      <c r="M36" s="75"/>
      <c r="N36" s="75"/>
      <c r="O36" s="79"/>
      <c r="P36" s="80"/>
      <c r="Q36" s="79"/>
      <c r="R36" s="81"/>
      <c r="S36" s="82"/>
      <c r="T36" s="83"/>
      <c r="U36" s="83"/>
      <c r="V36" s="84"/>
      <c r="W36" s="84"/>
      <c r="X36" s="75"/>
      <c r="Y36" s="85"/>
      <c r="Z36" s="86"/>
      <c r="AA36" s="86"/>
      <c r="AB36" s="86"/>
      <c r="AC36" s="98"/>
    </row>
    <row r="37" spans="4:29" x14ac:dyDescent="0.25">
      <c r="D37" s="23" t="s">
        <v>1193</v>
      </c>
      <c r="E37" s="23" t="s">
        <v>1144</v>
      </c>
      <c r="H37" s="75" t="s">
        <v>398</v>
      </c>
      <c r="I37" s="75" t="s">
        <v>1144</v>
      </c>
      <c r="K37">
        <f t="shared" si="0"/>
        <v>1</v>
      </c>
      <c r="M37" s="75" t="s">
        <v>399</v>
      </c>
      <c r="N37" s="75" t="s">
        <v>363</v>
      </c>
      <c r="O37" s="79">
        <v>44005</v>
      </c>
      <c r="P37" s="82" t="s">
        <v>317</v>
      </c>
      <c r="Q37" s="82" t="s">
        <v>317</v>
      </c>
      <c r="R37" s="81">
        <v>2.9726803972918345</v>
      </c>
      <c r="S37" s="82">
        <v>18</v>
      </c>
      <c r="T37" s="83">
        <v>4539137.92</v>
      </c>
      <c r="U37" s="83">
        <f>Tabla1[[#This Row],[V.I. Adj]]/1000000</f>
        <v>1.9924846880466471</v>
      </c>
      <c r="V37" s="84" t="s">
        <v>317</v>
      </c>
      <c r="W37" s="84" t="s">
        <v>317</v>
      </c>
      <c r="X37" s="75" t="s">
        <v>1144</v>
      </c>
      <c r="Y37" s="91">
        <v>418</v>
      </c>
      <c r="Z37" s="86">
        <v>42936</v>
      </c>
      <c r="AA37" s="86">
        <v>42966</v>
      </c>
      <c r="AB37" s="90" t="s">
        <v>317</v>
      </c>
      <c r="AC37" s="99" t="s">
        <v>317</v>
      </c>
    </row>
    <row r="38" spans="4:29" x14ac:dyDescent="0.25">
      <c r="D38" s="24" t="s">
        <v>1194</v>
      </c>
      <c r="E38" s="24" t="s">
        <v>1145</v>
      </c>
      <c r="H38" s="75" t="s">
        <v>401</v>
      </c>
      <c r="I38" s="75" t="s">
        <v>1145</v>
      </c>
      <c r="K38">
        <f t="shared" si="0"/>
        <v>1</v>
      </c>
      <c r="M38" s="75" t="s">
        <v>329</v>
      </c>
      <c r="N38" s="75" t="s">
        <v>323</v>
      </c>
      <c r="O38" s="79">
        <v>43607</v>
      </c>
      <c r="P38" s="82" t="s">
        <v>317</v>
      </c>
      <c r="Q38" s="82" t="s">
        <v>317</v>
      </c>
      <c r="R38" s="81">
        <v>2.7576219081078568</v>
      </c>
      <c r="S38" s="82">
        <v>18</v>
      </c>
      <c r="T38" s="83">
        <v>4321492</v>
      </c>
      <c r="U38" s="83">
        <f>Tabla1[[#This Row],[V.I. Adj]]/1000000</f>
        <v>2.5721695607385806</v>
      </c>
      <c r="V38" s="84" t="s">
        <v>317</v>
      </c>
      <c r="W38" s="84" t="s">
        <v>317</v>
      </c>
      <c r="X38" s="75" t="s">
        <v>1145</v>
      </c>
      <c r="Y38" s="85" t="s">
        <v>319</v>
      </c>
      <c r="Z38" s="86">
        <v>42936</v>
      </c>
      <c r="AA38" s="86">
        <v>42966</v>
      </c>
      <c r="AB38" s="86">
        <v>43651</v>
      </c>
      <c r="AC38" s="98">
        <v>43636</v>
      </c>
    </row>
    <row r="39" spans="4:29" x14ac:dyDescent="0.25">
      <c r="D39" s="23" t="s">
        <v>731</v>
      </c>
      <c r="E39" s="23" t="s">
        <v>1180</v>
      </c>
      <c r="H39" s="75"/>
      <c r="I39" s="75"/>
      <c r="K39">
        <f t="shared" si="0"/>
        <v>0</v>
      </c>
      <c r="M39" s="75"/>
      <c r="N39" s="75"/>
      <c r="O39" s="79"/>
      <c r="P39" s="82"/>
      <c r="Q39" s="82"/>
      <c r="R39" s="81"/>
      <c r="S39" s="82"/>
      <c r="T39" s="83"/>
      <c r="U39" s="83"/>
      <c r="V39" s="84"/>
      <c r="W39" s="84"/>
      <c r="X39" s="75"/>
      <c r="Y39" s="85"/>
      <c r="Z39" s="86"/>
      <c r="AA39" s="86"/>
      <c r="AB39" s="86"/>
      <c r="AC39" s="98"/>
    </row>
    <row r="40" spans="4:29" x14ac:dyDescent="0.25">
      <c r="D40" s="24" t="s">
        <v>1195</v>
      </c>
      <c r="E40" s="24" t="s">
        <v>1146</v>
      </c>
      <c r="H40" s="75" t="s">
        <v>403</v>
      </c>
      <c r="I40" s="75" t="s">
        <v>1146</v>
      </c>
      <c r="K40">
        <f t="shared" si="0"/>
        <v>1</v>
      </c>
      <c r="M40" s="75" t="s">
        <v>315</v>
      </c>
      <c r="N40" s="75" t="s">
        <v>311</v>
      </c>
      <c r="O40" s="79">
        <v>43287</v>
      </c>
      <c r="P40" s="80" t="s">
        <v>316</v>
      </c>
      <c r="Q40" s="79">
        <v>43673</v>
      </c>
      <c r="R40" s="81">
        <v>10.264540402480609</v>
      </c>
      <c r="S40" s="82">
        <v>24</v>
      </c>
      <c r="T40" s="83">
        <v>12522628.223543486</v>
      </c>
      <c r="U40" s="83">
        <f>Tabla1[[#This Row],[V.I. Adj]]/1000000</f>
        <v>0.69523344865565262</v>
      </c>
      <c r="V40" s="84" t="s">
        <v>317</v>
      </c>
      <c r="W40" s="84" t="s">
        <v>317</v>
      </c>
      <c r="X40" s="75" t="s">
        <v>1146</v>
      </c>
      <c r="Y40" s="85" t="s">
        <v>319</v>
      </c>
      <c r="Z40" s="86">
        <v>42936</v>
      </c>
      <c r="AA40" s="86">
        <v>42966</v>
      </c>
      <c r="AB40" s="86">
        <v>43328</v>
      </c>
      <c r="AC40" s="98">
        <v>43312</v>
      </c>
    </row>
    <row r="41" spans="4:29" x14ac:dyDescent="0.25">
      <c r="D41" s="23" t="s">
        <v>82</v>
      </c>
      <c r="E41" s="23" t="s">
        <v>1147</v>
      </c>
      <c r="H41" s="75" t="s">
        <v>406</v>
      </c>
      <c r="I41" s="75" t="s">
        <v>1147</v>
      </c>
      <c r="K41">
        <f t="shared" si="0"/>
        <v>1</v>
      </c>
      <c r="M41" s="75" t="s">
        <v>315</v>
      </c>
      <c r="N41" s="75" t="s">
        <v>311</v>
      </c>
      <c r="O41" s="79">
        <v>43287</v>
      </c>
      <c r="P41" s="80" t="s">
        <v>316</v>
      </c>
      <c r="Q41" s="79">
        <v>43673</v>
      </c>
      <c r="R41" s="81">
        <v>4.7916726432469607</v>
      </c>
      <c r="S41" s="82">
        <v>24</v>
      </c>
      <c r="T41" s="83">
        <v>5845788.7764565162</v>
      </c>
      <c r="U41" s="83">
        <f>Tabla1[[#This Row],[V.I. Adj]]/1000000</f>
        <v>2.7255869977324259</v>
      </c>
      <c r="V41" s="84" t="s">
        <v>317</v>
      </c>
      <c r="W41" s="84" t="s">
        <v>317</v>
      </c>
      <c r="X41" s="75" t="s">
        <v>1147</v>
      </c>
      <c r="Y41" s="85" t="s">
        <v>319</v>
      </c>
      <c r="Z41" s="86">
        <v>42936</v>
      </c>
      <c r="AA41" s="86">
        <v>42966</v>
      </c>
      <c r="AB41" s="86">
        <v>43339</v>
      </c>
      <c r="AC41" s="98">
        <v>43312</v>
      </c>
    </row>
    <row r="42" spans="4:29" x14ac:dyDescent="0.25">
      <c r="D42" s="24" t="s">
        <v>1196</v>
      </c>
      <c r="E42" s="24" t="s">
        <v>1148</v>
      </c>
      <c r="H42" s="75" t="s">
        <v>409</v>
      </c>
      <c r="I42" s="75" t="s">
        <v>1148</v>
      </c>
      <c r="K42">
        <f t="shared" si="0"/>
        <v>1</v>
      </c>
      <c r="M42" s="75" t="s">
        <v>410</v>
      </c>
      <c r="N42" s="75" t="s">
        <v>311</v>
      </c>
      <c r="O42" s="79">
        <v>43287</v>
      </c>
      <c r="P42" s="80" t="s">
        <v>316</v>
      </c>
      <c r="Q42" s="79">
        <v>43673</v>
      </c>
      <c r="R42" s="81">
        <v>2.7830475422970955</v>
      </c>
      <c r="S42" s="82">
        <v>24</v>
      </c>
      <c r="T42" s="83">
        <v>2550807.6391318431</v>
      </c>
      <c r="U42" s="83">
        <f>Tabla1[[#This Row],[V.I. Adj]]/1000000</f>
        <v>4.6255468464615959</v>
      </c>
      <c r="V42" s="84" t="s">
        <v>317</v>
      </c>
      <c r="W42" s="84" t="s">
        <v>317</v>
      </c>
      <c r="X42" s="75" t="s">
        <v>1148</v>
      </c>
      <c r="Y42" s="85" t="s">
        <v>319</v>
      </c>
      <c r="Z42" s="86">
        <v>42936</v>
      </c>
      <c r="AA42" s="86">
        <v>42966</v>
      </c>
      <c r="AB42" s="86">
        <v>43332</v>
      </c>
      <c r="AC42" s="98">
        <v>43312</v>
      </c>
    </row>
    <row r="43" spans="4:29" x14ac:dyDescent="0.25">
      <c r="D43" s="23" t="s">
        <v>1197</v>
      </c>
      <c r="E43" s="23" t="s">
        <v>1149</v>
      </c>
      <c r="H43" s="75" t="s">
        <v>412</v>
      </c>
      <c r="I43" s="75" t="s">
        <v>1149</v>
      </c>
      <c r="K43">
        <f t="shared" si="0"/>
        <v>1</v>
      </c>
      <c r="M43" s="75" t="s">
        <v>410</v>
      </c>
      <c r="N43" s="75" t="s">
        <v>311</v>
      </c>
      <c r="O43" s="79">
        <v>43287</v>
      </c>
      <c r="P43" s="80" t="s">
        <v>316</v>
      </c>
      <c r="Q43" s="79">
        <v>43673</v>
      </c>
      <c r="R43" s="81">
        <v>2.1738917231799162</v>
      </c>
      <c r="S43" s="82">
        <v>18</v>
      </c>
      <c r="T43" s="83">
        <v>1992484.6880466472</v>
      </c>
      <c r="U43" s="83">
        <f>Tabla1[[#This Row],[V.I. Adj]]/1000000</f>
        <v>3.1679872786432655</v>
      </c>
      <c r="V43" s="84" t="s">
        <v>317</v>
      </c>
      <c r="W43" s="84" t="s">
        <v>317</v>
      </c>
      <c r="X43" s="75" t="s">
        <v>1149</v>
      </c>
      <c r="Y43" s="85" t="s">
        <v>319</v>
      </c>
      <c r="Z43" s="86">
        <v>42936</v>
      </c>
      <c r="AA43" s="86">
        <v>42966</v>
      </c>
      <c r="AB43" s="86">
        <v>43332</v>
      </c>
      <c r="AC43" s="98">
        <v>43312</v>
      </c>
    </row>
    <row r="44" spans="4:29" x14ac:dyDescent="0.25">
      <c r="D44" s="24" t="s">
        <v>933</v>
      </c>
      <c r="E44" s="24" t="s">
        <v>1150</v>
      </c>
      <c r="H44" s="75" t="s">
        <v>414</v>
      </c>
      <c r="I44" s="75" t="s">
        <v>1150</v>
      </c>
      <c r="K44">
        <f t="shared" si="0"/>
        <v>1</v>
      </c>
      <c r="M44" s="75" t="s">
        <v>410</v>
      </c>
      <c r="N44" s="75" t="s">
        <v>311</v>
      </c>
      <c r="O44" s="79">
        <v>43287</v>
      </c>
      <c r="P44" s="80" t="s">
        <v>316</v>
      </c>
      <c r="Q44" s="79">
        <v>43673</v>
      </c>
      <c r="R44" s="81">
        <v>2.8063543736372307</v>
      </c>
      <c r="S44" s="82">
        <v>18</v>
      </c>
      <c r="T44" s="83">
        <v>2572169.5607385808</v>
      </c>
      <c r="U44" s="83">
        <f>Tabla1[[#This Row],[V.I. Adj]]/1000000</f>
        <v>3.038505509761388</v>
      </c>
      <c r="V44" s="84" t="s">
        <v>317</v>
      </c>
      <c r="W44" s="84" t="s">
        <v>317</v>
      </c>
      <c r="X44" s="75" t="s">
        <v>1150</v>
      </c>
      <c r="Y44" s="85" t="s">
        <v>319</v>
      </c>
      <c r="Z44" s="86">
        <v>42936</v>
      </c>
      <c r="AA44" s="86">
        <v>42966</v>
      </c>
      <c r="AB44" s="86">
        <v>43332</v>
      </c>
      <c r="AC44" s="98">
        <v>43312</v>
      </c>
    </row>
    <row r="45" spans="4:29" x14ac:dyDescent="0.25">
      <c r="D45" s="23" t="s">
        <v>1198</v>
      </c>
      <c r="E45" s="23" t="s">
        <v>1151</v>
      </c>
      <c r="H45" s="75" t="s">
        <v>416</v>
      </c>
      <c r="I45" s="75" t="s">
        <v>1151</v>
      </c>
      <c r="K45">
        <f t="shared" si="0"/>
        <v>1</v>
      </c>
      <c r="M45" s="75" t="s">
        <v>410</v>
      </c>
      <c r="N45" s="75" t="s">
        <v>311</v>
      </c>
      <c r="O45" s="79">
        <v>43287</v>
      </c>
      <c r="P45" s="80" t="s">
        <v>316</v>
      </c>
      <c r="Q45" s="79">
        <v>43673</v>
      </c>
      <c r="R45" s="81">
        <v>1.5859239325537693</v>
      </c>
      <c r="S45" s="82">
        <v>18</v>
      </c>
      <c r="T45" s="83">
        <v>1453581.6656948493</v>
      </c>
      <c r="U45" s="83">
        <f>Tabla1[[#This Row],[V.I. Adj]]/1000000</f>
        <v>1.0479391161506606</v>
      </c>
      <c r="V45" s="84" t="s">
        <v>317</v>
      </c>
      <c r="W45" s="84" t="s">
        <v>317</v>
      </c>
      <c r="X45" s="75" t="s">
        <v>1151</v>
      </c>
      <c r="Y45" s="85" t="s">
        <v>319</v>
      </c>
      <c r="Z45" s="86">
        <v>42936</v>
      </c>
      <c r="AA45" s="86">
        <v>42966</v>
      </c>
      <c r="AB45" s="86">
        <v>43332</v>
      </c>
      <c r="AC45" s="98">
        <v>43312</v>
      </c>
    </row>
    <row r="46" spans="4:29" x14ac:dyDescent="0.25">
      <c r="D46" s="24" t="s">
        <v>1199</v>
      </c>
      <c r="E46" s="24" t="s">
        <v>1152</v>
      </c>
      <c r="H46" s="75" t="s">
        <v>418</v>
      </c>
      <c r="I46" s="75" t="s">
        <v>1152</v>
      </c>
      <c r="K46">
        <f t="shared" si="0"/>
        <v>1</v>
      </c>
      <c r="M46" s="75" t="s">
        <v>410</v>
      </c>
      <c r="N46" s="75" t="s">
        <v>311</v>
      </c>
      <c r="O46" s="79">
        <v>43287</v>
      </c>
      <c r="P46" s="80" t="s">
        <v>316</v>
      </c>
      <c r="Q46" s="79">
        <v>43673</v>
      </c>
      <c r="R46" s="81">
        <v>0.75853141997895701</v>
      </c>
      <c r="S46" s="82">
        <v>18</v>
      </c>
      <c r="T46" s="83">
        <v>695233.44865565258</v>
      </c>
      <c r="U46" s="83">
        <f>Tabla1[[#This Row],[V.I. Adj]]/1000000</f>
        <v>1.5002620954446855</v>
      </c>
      <c r="V46" s="84" t="s">
        <v>317</v>
      </c>
      <c r="W46" s="84" t="s">
        <v>317</v>
      </c>
      <c r="X46" s="75" t="s">
        <v>1152</v>
      </c>
      <c r="Y46" s="85" t="s">
        <v>319</v>
      </c>
      <c r="Z46" s="86">
        <v>42936</v>
      </c>
      <c r="AA46" s="86">
        <v>42966</v>
      </c>
      <c r="AB46" s="86">
        <v>43332</v>
      </c>
      <c r="AC46" s="98">
        <v>43312</v>
      </c>
    </row>
    <row r="47" spans="4:29" x14ac:dyDescent="0.25">
      <c r="D47" s="23" t="s">
        <v>1200</v>
      </c>
      <c r="E47" s="23" t="s">
        <v>1153</v>
      </c>
      <c r="H47" s="75" t="s">
        <v>420</v>
      </c>
      <c r="I47" s="75" t="s">
        <v>1153</v>
      </c>
      <c r="K47">
        <f t="shared" si="0"/>
        <v>1</v>
      </c>
      <c r="M47" s="75" t="s">
        <v>410</v>
      </c>
      <c r="N47" s="75" t="s">
        <v>311</v>
      </c>
      <c r="O47" s="79">
        <v>43287</v>
      </c>
      <c r="P47" s="80" t="s">
        <v>316</v>
      </c>
      <c r="Q47" s="79">
        <v>43673</v>
      </c>
      <c r="R47" s="81">
        <v>2.9737397987163861</v>
      </c>
      <c r="S47" s="82">
        <v>24</v>
      </c>
      <c r="T47" s="83">
        <v>2725586.997732426</v>
      </c>
      <c r="U47" s="83">
        <f>Tabla1[[#This Row],[V.I. Adj]]/1000000</f>
        <v>3.9252562225844296</v>
      </c>
      <c r="V47" s="84" t="s">
        <v>317</v>
      </c>
      <c r="W47" s="84" t="s">
        <v>317</v>
      </c>
      <c r="X47" s="75" t="s">
        <v>1153</v>
      </c>
      <c r="Y47" s="85" t="s">
        <v>319</v>
      </c>
      <c r="Z47" s="86">
        <v>42936</v>
      </c>
      <c r="AA47" s="86">
        <v>42966</v>
      </c>
      <c r="AB47" s="86">
        <v>43332</v>
      </c>
      <c r="AC47" s="98">
        <v>43312</v>
      </c>
    </row>
    <row r="48" spans="4:29" x14ac:dyDescent="0.25">
      <c r="D48" s="24" t="s">
        <v>1201</v>
      </c>
      <c r="E48" s="24" t="s">
        <v>1154</v>
      </c>
      <c r="H48" s="75" t="s">
        <v>422</v>
      </c>
      <c r="I48" s="75" t="s">
        <v>1154</v>
      </c>
      <c r="K48">
        <f t="shared" si="0"/>
        <v>1</v>
      </c>
      <c r="M48" s="75" t="s">
        <v>170</v>
      </c>
      <c r="N48" s="75" t="s">
        <v>311</v>
      </c>
      <c r="O48" s="79">
        <v>43287</v>
      </c>
      <c r="P48" s="80" t="s">
        <v>316</v>
      </c>
      <c r="Q48" s="79">
        <v>43673</v>
      </c>
      <c r="R48" s="81">
        <v>3.2407089577033936</v>
      </c>
      <c r="S48" s="82">
        <v>48</v>
      </c>
      <c r="T48" s="83">
        <v>4625546.846461596</v>
      </c>
      <c r="U48" s="83">
        <f>Tabla1[[#This Row],[V.I. Adj]]/1000000</f>
        <v>0.8197999674155706</v>
      </c>
      <c r="V48" s="84" t="s">
        <v>317</v>
      </c>
      <c r="W48" s="84" t="s">
        <v>317</v>
      </c>
      <c r="X48" s="75" t="s">
        <v>1154</v>
      </c>
      <c r="Y48" s="85" t="s">
        <v>319</v>
      </c>
      <c r="Z48" s="86">
        <v>42936</v>
      </c>
      <c r="AA48" s="86">
        <v>42966</v>
      </c>
      <c r="AB48" s="86">
        <v>43287</v>
      </c>
      <c r="AC48" s="98">
        <v>43312</v>
      </c>
    </row>
    <row r="49" spans="4:29" x14ac:dyDescent="0.25">
      <c r="D49" s="23" t="s">
        <v>1202</v>
      </c>
      <c r="E49" s="23" t="s">
        <v>1155</v>
      </c>
      <c r="H49" s="75" t="s">
        <v>424</v>
      </c>
      <c r="I49" s="75" t="s">
        <v>1155</v>
      </c>
      <c r="K49">
        <f t="shared" si="0"/>
        <v>1</v>
      </c>
      <c r="M49" s="75" t="s">
        <v>175</v>
      </c>
      <c r="N49" s="75" t="s">
        <v>311</v>
      </c>
      <c r="O49" s="79">
        <v>43287</v>
      </c>
      <c r="P49" s="80" t="s">
        <v>316</v>
      </c>
      <c r="Q49" s="79">
        <v>43673</v>
      </c>
      <c r="R49" s="81">
        <v>1.9440016140522154</v>
      </c>
      <c r="S49" s="82">
        <v>18</v>
      </c>
      <c r="T49" s="83">
        <v>3167987.2786432654</v>
      </c>
      <c r="U49" s="83">
        <f>Tabla1[[#This Row],[V.I. Adj]]/1000000</f>
        <v>2.1462330470219433</v>
      </c>
      <c r="V49" s="84" t="s">
        <v>317</v>
      </c>
      <c r="W49" s="84" t="s">
        <v>317</v>
      </c>
      <c r="X49" s="75" t="s">
        <v>1155</v>
      </c>
      <c r="Y49" s="85" t="s">
        <v>319</v>
      </c>
      <c r="Z49" s="86">
        <v>42936</v>
      </c>
      <c r="AA49" s="86">
        <v>42966</v>
      </c>
      <c r="AB49" s="86">
        <v>43328</v>
      </c>
      <c r="AC49" s="98">
        <v>43312</v>
      </c>
    </row>
    <row r="50" spans="4:29" x14ac:dyDescent="0.25">
      <c r="D50" s="24" t="s">
        <v>1203</v>
      </c>
      <c r="E50" s="24" t="s">
        <v>1156</v>
      </c>
      <c r="H50" s="75" t="s">
        <v>426</v>
      </c>
      <c r="I50" s="75" t="s">
        <v>1156</v>
      </c>
      <c r="K50">
        <f t="shared" si="0"/>
        <v>1</v>
      </c>
      <c r="M50" s="75" t="s">
        <v>175</v>
      </c>
      <c r="N50" s="75" t="s">
        <v>311</v>
      </c>
      <c r="O50" s="79">
        <v>43287</v>
      </c>
      <c r="P50" s="80" t="s">
        <v>316</v>
      </c>
      <c r="Q50" s="79">
        <v>43673</v>
      </c>
      <c r="R50" s="81">
        <v>1.8645465072108443</v>
      </c>
      <c r="S50" s="82">
        <v>18</v>
      </c>
      <c r="T50" s="83">
        <v>3038505.5097613879</v>
      </c>
      <c r="U50" s="83">
        <f>Tabla1[[#This Row],[V.I. Adj]]/1000000</f>
        <v>1.7232320893416926</v>
      </c>
      <c r="V50" s="84" t="s">
        <v>317</v>
      </c>
      <c r="W50" s="84" t="s">
        <v>317</v>
      </c>
      <c r="X50" s="75" t="s">
        <v>1156</v>
      </c>
      <c r="Y50" s="85" t="s">
        <v>319</v>
      </c>
      <c r="Z50" s="86">
        <v>42936</v>
      </c>
      <c r="AA50" s="86">
        <v>42966</v>
      </c>
      <c r="AB50" s="86">
        <v>43333</v>
      </c>
      <c r="AC50" s="98">
        <v>43312</v>
      </c>
    </row>
    <row r="51" spans="4:29" x14ac:dyDescent="0.25">
      <c r="D51" s="23" t="s">
        <v>1204</v>
      </c>
      <c r="E51" s="23" t="s">
        <v>1157</v>
      </c>
      <c r="H51" s="75" t="s">
        <v>428</v>
      </c>
      <c r="I51" s="75" t="s">
        <v>1157</v>
      </c>
      <c r="K51">
        <f t="shared" si="0"/>
        <v>1</v>
      </c>
      <c r="M51" s="75" t="s">
        <v>175</v>
      </c>
      <c r="N51" s="75" t="s">
        <v>311</v>
      </c>
      <c r="O51" s="79">
        <v>43287</v>
      </c>
      <c r="P51" s="80" t="s">
        <v>316</v>
      </c>
      <c r="Q51" s="79">
        <v>43673</v>
      </c>
      <c r="R51" s="81">
        <v>0.64305666470283096</v>
      </c>
      <c r="S51" s="82">
        <v>18</v>
      </c>
      <c r="T51" s="83">
        <v>1047939.1161506606</v>
      </c>
      <c r="U51" s="83">
        <f>Tabla1[[#This Row],[V.I. Adj]]/1000000</f>
        <v>3.3754908636363643</v>
      </c>
      <c r="V51" s="84" t="s">
        <v>317</v>
      </c>
      <c r="W51" s="84" t="s">
        <v>317</v>
      </c>
      <c r="X51" s="75" t="s">
        <v>1157</v>
      </c>
      <c r="Y51" s="85" t="s">
        <v>319</v>
      </c>
      <c r="Z51" s="86">
        <v>42936</v>
      </c>
      <c r="AA51" s="86">
        <v>42966</v>
      </c>
      <c r="AB51" s="86">
        <v>43287</v>
      </c>
      <c r="AC51" s="98">
        <v>43312</v>
      </c>
    </row>
    <row r="52" spans="4:29" x14ac:dyDescent="0.25">
      <c r="D52" s="24" t="s">
        <v>1205</v>
      </c>
      <c r="E52" s="24" t="s">
        <v>1158</v>
      </c>
      <c r="H52" s="75" t="s">
        <v>430</v>
      </c>
      <c r="I52" s="75" t="s">
        <v>1158</v>
      </c>
      <c r="K52">
        <f t="shared" si="0"/>
        <v>1</v>
      </c>
      <c r="M52" s="75" t="s">
        <v>175</v>
      </c>
      <c r="N52" s="75" t="s">
        <v>311</v>
      </c>
      <c r="O52" s="79">
        <v>43287</v>
      </c>
      <c r="P52" s="80" t="s">
        <v>316</v>
      </c>
      <c r="Q52" s="79">
        <v>43673</v>
      </c>
      <c r="R52" s="81">
        <v>0.9206198379353544</v>
      </c>
      <c r="S52" s="82">
        <v>18</v>
      </c>
      <c r="T52" s="83">
        <v>1500262.0954446855</v>
      </c>
      <c r="U52" s="83">
        <f>Tabla1[[#This Row],[V.I. Adj]]/1000000</f>
        <v>3.3548099300000001</v>
      </c>
      <c r="V52" s="84" t="s">
        <v>317</v>
      </c>
      <c r="W52" s="84" t="s">
        <v>317</v>
      </c>
      <c r="X52" s="75" t="s">
        <v>1158</v>
      </c>
      <c r="Y52" s="85" t="s">
        <v>319</v>
      </c>
      <c r="Z52" s="86">
        <v>42936</v>
      </c>
      <c r="AA52" s="86">
        <v>42966</v>
      </c>
      <c r="AB52" s="86">
        <v>43333</v>
      </c>
      <c r="AC52" s="98">
        <v>43312</v>
      </c>
    </row>
    <row r="53" spans="4:29" x14ac:dyDescent="0.25">
      <c r="D53" s="23" t="s">
        <v>1206</v>
      </c>
      <c r="E53" s="23" t="s">
        <v>1159</v>
      </c>
      <c r="H53" s="75" t="s">
        <v>433</v>
      </c>
      <c r="I53" s="75" t="s">
        <v>1159</v>
      </c>
      <c r="K53">
        <f t="shared" si="0"/>
        <v>1</v>
      </c>
      <c r="M53" s="75" t="s">
        <v>399</v>
      </c>
      <c r="N53" s="75" t="s">
        <v>363</v>
      </c>
      <c r="O53" s="79">
        <v>44005</v>
      </c>
      <c r="P53" s="82" t="s">
        <v>317</v>
      </c>
      <c r="Q53" s="82" t="s">
        <v>317</v>
      </c>
      <c r="R53" s="81">
        <v>2.4652271149316105</v>
      </c>
      <c r="S53" s="82">
        <v>18</v>
      </c>
      <c r="T53" s="83">
        <v>3925256.2225844297</v>
      </c>
      <c r="U53" s="83">
        <f>Tabla1[[#This Row],[V.I. Adj]]/1000000</f>
        <v>11.04227401356443</v>
      </c>
      <c r="V53" s="84" t="s">
        <v>317</v>
      </c>
      <c r="W53" s="84" t="s">
        <v>317</v>
      </c>
      <c r="X53" s="75" t="s">
        <v>1159</v>
      </c>
      <c r="Y53" s="91">
        <v>418</v>
      </c>
      <c r="Z53" s="86">
        <v>42936</v>
      </c>
      <c r="AA53" s="86">
        <v>42966</v>
      </c>
      <c r="AB53" s="90" t="s">
        <v>317</v>
      </c>
      <c r="AC53" s="99" t="s">
        <v>317</v>
      </c>
    </row>
    <row r="54" spans="4:29" x14ac:dyDescent="0.25">
      <c r="D54" s="24" t="s">
        <v>1207</v>
      </c>
      <c r="E54" s="24" t="s">
        <v>1160</v>
      </c>
      <c r="H54" s="75" t="s">
        <v>435</v>
      </c>
      <c r="I54" s="75" t="s">
        <v>1160</v>
      </c>
      <c r="K54">
        <f t="shared" si="0"/>
        <v>1</v>
      </c>
      <c r="M54" s="75" t="s">
        <v>399</v>
      </c>
      <c r="N54" s="75" t="s">
        <v>363</v>
      </c>
      <c r="O54" s="79">
        <v>44005</v>
      </c>
      <c r="P54" s="82" t="s">
        <v>317</v>
      </c>
      <c r="Q54" s="82" t="s">
        <v>317</v>
      </c>
      <c r="R54" s="81">
        <v>0.51486909233208544</v>
      </c>
      <c r="S54" s="82">
        <v>24</v>
      </c>
      <c r="T54" s="83">
        <v>819799.96741557063</v>
      </c>
      <c r="U54" s="83">
        <f>Tabla1[[#This Row],[V.I. Adj]]/1000000</f>
        <v>0.91455798643556874</v>
      </c>
      <c r="V54" s="84" t="s">
        <v>317</v>
      </c>
      <c r="W54" s="84" t="s">
        <v>317</v>
      </c>
      <c r="X54" s="75" t="s">
        <v>1160</v>
      </c>
      <c r="Y54" s="91">
        <v>418</v>
      </c>
      <c r="Z54" s="86">
        <v>42936</v>
      </c>
      <c r="AA54" s="86">
        <v>42966</v>
      </c>
      <c r="AB54" s="90" t="s">
        <v>317</v>
      </c>
      <c r="AC54" s="99" t="s">
        <v>317</v>
      </c>
    </row>
    <row r="55" spans="4:29" x14ac:dyDescent="0.25">
      <c r="D55" s="23" t="s">
        <v>1208</v>
      </c>
      <c r="E55" s="23" t="s">
        <v>1161</v>
      </c>
      <c r="H55" s="75" t="s">
        <v>437</v>
      </c>
      <c r="I55" s="75" t="s">
        <v>1161</v>
      </c>
      <c r="K55">
        <f t="shared" si="0"/>
        <v>1</v>
      </c>
      <c r="M55" s="75" t="s">
        <v>206</v>
      </c>
      <c r="N55" s="75" t="s">
        <v>363</v>
      </c>
      <c r="O55" s="79">
        <v>44005</v>
      </c>
      <c r="P55" s="82" t="s">
        <v>317</v>
      </c>
      <c r="Q55" s="82" t="s">
        <v>317</v>
      </c>
      <c r="R55" s="81">
        <v>0.80090747696102171</v>
      </c>
      <c r="S55" s="82">
        <v>18</v>
      </c>
      <c r="T55" s="83">
        <v>2146233.0470219431</v>
      </c>
      <c r="U55" s="83">
        <f>Tabla1[[#This Row],[V.I. Adj]]/1000000</f>
        <v>2.0851622884953676</v>
      </c>
      <c r="V55" s="84" t="s">
        <v>317</v>
      </c>
      <c r="W55" s="84" t="s">
        <v>317</v>
      </c>
      <c r="X55" s="75" t="s">
        <v>1161</v>
      </c>
      <c r="Y55" s="91">
        <v>418</v>
      </c>
      <c r="Z55" s="86">
        <v>42936</v>
      </c>
      <c r="AA55" s="86">
        <v>42966</v>
      </c>
      <c r="AB55" s="90" t="s">
        <v>317</v>
      </c>
      <c r="AC55" s="99" t="s">
        <v>317</v>
      </c>
    </row>
    <row r="56" spans="4:29" x14ac:dyDescent="0.25">
      <c r="D56" s="24" t="s">
        <v>1209</v>
      </c>
      <c r="E56" s="24" t="s">
        <v>1162</v>
      </c>
      <c r="H56" s="75" t="s">
        <v>439</v>
      </c>
      <c r="I56" s="75" t="s">
        <v>1162</v>
      </c>
      <c r="K56">
        <f t="shared" si="0"/>
        <v>1</v>
      </c>
      <c r="M56" s="75" t="s">
        <v>206</v>
      </c>
      <c r="N56" s="75" t="s">
        <v>363</v>
      </c>
      <c r="O56" s="79">
        <v>44005</v>
      </c>
      <c r="P56" s="82" t="s">
        <v>317</v>
      </c>
      <c r="Q56" s="82" t="s">
        <v>317</v>
      </c>
      <c r="R56" s="81">
        <v>0.64305666470283096</v>
      </c>
      <c r="S56" s="82">
        <v>18</v>
      </c>
      <c r="T56" s="83">
        <v>1723232.0893416926</v>
      </c>
      <c r="U56" s="83">
        <f>Tabla1[[#This Row],[V.I. Adj]]/1000000</f>
        <v>1.8307525355928222</v>
      </c>
      <c r="V56" s="84" t="s">
        <v>317</v>
      </c>
      <c r="W56" s="84" t="s">
        <v>317</v>
      </c>
      <c r="X56" s="75" t="s">
        <v>1162</v>
      </c>
      <c r="Y56" s="91">
        <v>418</v>
      </c>
      <c r="Z56" s="86">
        <v>42936</v>
      </c>
      <c r="AA56" s="86">
        <v>42966</v>
      </c>
      <c r="AB56" s="90" t="s">
        <v>317</v>
      </c>
      <c r="AC56" s="99" t="s">
        <v>317</v>
      </c>
    </row>
    <row r="57" spans="4:29" x14ac:dyDescent="0.25">
      <c r="D57" s="23" t="s">
        <v>1210</v>
      </c>
      <c r="E57" s="23" t="s">
        <v>1163</v>
      </c>
      <c r="H57" s="75" t="s">
        <v>441</v>
      </c>
      <c r="I57" s="75" t="s">
        <v>1163</v>
      </c>
      <c r="K57">
        <f t="shared" si="0"/>
        <v>1</v>
      </c>
      <c r="M57" s="75" t="s">
        <v>206</v>
      </c>
      <c r="N57" s="75" t="s">
        <v>363</v>
      </c>
      <c r="O57" s="79">
        <v>44005</v>
      </c>
      <c r="P57" s="82" t="s">
        <v>317</v>
      </c>
      <c r="Q57" s="82" t="s">
        <v>317</v>
      </c>
      <c r="R57" s="81">
        <v>1.2596282937918717</v>
      </c>
      <c r="S57" s="82">
        <v>18</v>
      </c>
      <c r="T57" s="83">
        <v>3375490.8636363642</v>
      </c>
      <c r="U57" s="83">
        <f>Tabla1[[#This Row],[V.I. Adj]]/1000000</f>
        <v>0.76821768523513534</v>
      </c>
      <c r="V57" s="84" t="s">
        <v>317</v>
      </c>
      <c r="W57" s="84" t="s">
        <v>317</v>
      </c>
      <c r="X57" s="75" t="s">
        <v>1163</v>
      </c>
      <c r="Y57" s="91">
        <v>418</v>
      </c>
      <c r="Z57" s="86">
        <v>42936</v>
      </c>
      <c r="AA57" s="86">
        <v>42966</v>
      </c>
      <c r="AB57" s="90" t="s">
        <v>317</v>
      </c>
      <c r="AC57" s="99" t="s">
        <v>317</v>
      </c>
    </row>
    <row r="58" spans="4:29" x14ac:dyDescent="0.25">
      <c r="D58" s="24" t="s">
        <v>1211</v>
      </c>
      <c r="E58" s="24" t="s">
        <v>1164</v>
      </c>
      <c r="H58" s="75" t="s">
        <v>444</v>
      </c>
      <c r="I58" s="75" t="s">
        <v>1164</v>
      </c>
      <c r="K58">
        <f t="shared" si="0"/>
        <v>1</v>
      </c>
      <c r="M58" s="75" t="s">
        <v>445</v>
      </c>
      <c r="N58" s="75" t="s">
        <v>363</v>
      </c>
      <c r="O58" s="79">
        <v>44005</v>
      </c>
      <c r="P58" s="82" t="s">
        <v>317</v>
      </c>
      <c r="Q58" s="82" t="s">
        <v>317</v>
      </c>
      <c r="R58" s="81">
        <v>3.2481247676752552</v>
      </c>
      <c r="S58" s="82">
        <v>18</v>
      </c>
      <c r="T58" s="83">
        <v>3354809.93</v>
      </c>
      <c r="U58" s="83">
        <f>Tabla1[[#This Row],[V.I. Adj]]/1000000</f>
        <v>0.76821768523513534</v>
      </c>
      <c r="V58" s="84" t="s">
        <v>317</v>
      </c>
      <c r="W58" s="84" t="s">
        <v>317</v>
      </c>
      <c r="X58" s="75" t="s">
        <v>1164</v>
      </c>
      <c r="Y58" s="91">
        <v>418</v>
      </c>
      <c r="Z58" s="86">
        <v>42936</v>
      </c>
      <c r="AA58" s="86">
        <v>42966</v>
      </c>
      <c r="AB58" s="90" t="s">
        <v>317</v>
      </c>
      <c r="AC58" s="99" t="s">
        <v>317</v>
      </c>
    </row>
    <row r="59" spans="4:29" x14ac:dyDescent="0.25">
      <c r="D59" s="23" t="s">
        <v>93</v>
      </c>
      <c r="E59" s="23" t="s">
        <v>1165</v>
      </c>
      <c r="H59" s="75" t="s">
        <v>448</v>
      </c>
      <c r="I59" s="75" t="s">
        <v>1165</v>
      </c>
      <c r="K59">
        <f t="shared" si="0"/>
        <v>1</v>
      </c>
      <c r="M59" s="75" t="s">
        <v>205</v>
      </c>
      <c r="N59" s="75" t="s">
        <v>363</v>
      </c>
      <c r="O59" s="79">
        <v>44005</v>
      </c>
      <c r="P59" s="82" t="s">
        <v>317</v>
      </c>
      <c r="Q59" s="82" t="s">
        <v>317</v>
      </c>
      <c r="R59" s="81">
        <v>2.596592891576011</v>
      </c>
      <c r="S59" s="82">
        <v>24</v>
      </c>
      <c r="T59" s="83">
        <v>11042274.01356443</v>
      </c>
      <c r="U59" s="83">
        <f>Tabla1[[#This Row],[V.I. Adj]]/1000000</f>
        <v>8.7264208054415384</v>
      </c>
      <c r="V59" s="84" t="s">
        <v>317</v>
      </c>
      <c r="W59" s="84" t="s">
        <v>317</v>
      </c>
      <c r="X59" s="75" t="s">
        <v>1165</v>
      </c>
      <c r="Y59" s="91">
        <v>418</v>
      </c>
      <c r="Z59" s="86">
        <v>42936</v>
      </c>
      <c r="AA59" s="86">
        <v>42966</v>
      </c>
      <c r="AB59" s="90" t="s">
        <v>317</v>
      </c>
      <c r="AC59" s="99" t="s">
        <v>317</v>
      </c>
    </row>
    <row r="60" spans="4:29" x14ac:dyDescent="0.25">
      <c r="D60" s="24" t="s">
        <v>742</v>
      </c>
      <c r="E60" s="24" t="s">
        <v>1166</v>
      </c>
      <c r="H60" s="75" t="s">
        <v>450</v>
      </c>
      <c r="I60" s="75" t="s">
        <v>1166</v>
      </c>
      <c r="K60">
        <f t="shared" si="0"/>
        <v>1</v>
      </c>
      <c r="M60" s="75" t="s">
        <v>205</v>
      </c>
      <c r="N60" s="75" t="s">
        <v>363</v>
      </c>
      <c r="O60" s="79">
        <v>44005</v>
      </c>
      <c r="P60" s="82" t="s">
        <v>317</v>
      </c>
      <c r="Q60" s="82" t="s">
        <v>317</v>
      </c>
      <c r="R60" s="81">
        <v>0.21505848918397805</v>
      </c>
      <c r="S60" s="82">
        <v>24</v>
      </c>
      <c r="T60" s="83">
        <v>914557.98643556878</v>
      </c>
      <c r="U60" s="83">
        <f>Tabla1[[#This Row],[V.I. Adj]]/1000000</f>
        <v>8.6749735000000001</v>
      </c>
      <c r="V60" s="84" t="s">
        <v>317</v>
      </c>
      <c r="W60" s="84" t="s">
        <v>317</v>
      </c>
      <c r="X60" s="75" t="s">
        <v>1166</v>
      </c>
      <c r="Y60" s="91">
        <v>418</v>
      </c>
      <c r="Z60" s="86">
        <v>42936</v>
      </c>
      <c r="AA60" s="86">
        <v>42966</v>
      </c>
      <c r="AB60" s="90" t="s">
        <v>317</v>
      </c>
      <c r="AC60" s="99" t="s">
        <v>317</v>
      </c>
    </row>
    <row r="61" spans="4:29" x14ac:dyDescent="0.25">
      <c r="D61" s="23" t="s">
        <v>1212</v>
      </c>
      <c r="E61" s="23" t="s">
        <v>1167</v>
      </c>
      <c r="H61" s="75" t="s">
        <v>452</v>
      </c>
      <c r="I61" s="75" t="s">
        <v>1167</v>
      </c>
      <c r="K61">
        <f t="shared" si="0"/>
        <v>1</v>
      </c>
      <c r="M61" s="75" t="s">
        <v>453</v>
      </c>
      <c r="N61" s="75" t="s">
        <v>311</v>
      </c>
      <c r="O61" s="79">
        <v>43287</v>
      </c>
      <c r="P61" s="80" t="s">
        <v>316</v>
      </c>
      <c r="Q61" s="79">
        <v>43673</v>
      </c>
      <c r="R61" s="81">
        <v>1.3284893863877267</v>
      </c>
      <c r="S61" s="82">
        <v>18</v>
      </c>
      <c r="T61" s="83">
        <v>2085162.2884953676</v>
      </c>
      <c r="U61" s="83">
        <f>Tabla1[[#This Row],[V.I. Adj]]/1000000</f>
        <v>2.1610403199999997</v>
      </c>
      <c r="V61" s="84" t="s">
        <v>317</v>
      </c>
      <c r="W61" s="84" t="s">
        <v>317</v>
      </c>
      <c r="X61" s="75" t="s">
        <v>1167</v>
      </c>
      <c r="Y61" s="85" t="s">
        <v>319</v>
      </c>
      <c r="Z61" s="86">
        <v>42936</v>
      </c>
      <c r="AA61" s="86">
        <v>42966</v>
      </c>
      <c r="AB61" s="86">
        <v>43332</v>
      </c>
      <c r="AC61" s="98">
        <v>43312</v>
      </c>
    </row>
    <row r="62" spans="4:29" x14ac:dyDescent="0.25">
      <c r="D62" s="24" t="s">
        <v>1213</v>
      </c>
      <c r="E62" s="24" t="s">
        <v>1168</v>
      </c>
      <c r="H62" s="75" t="s">
        <v>455</v>
      </c>
      <c r="I62" s="75" t="s">
        <v>1168</v>
      </c>
      <c r="K62">
        <f t="shared" si="0"/>
        <v>1</v>
      </c>
      <c r="M62" s="75" t="s">
        <v>453</v>
      </c>
      <c r="N62" s="75" t="s">
        <v>311</v>
      </c>
      <c r="O62" s="79">
        <v>43287</v>
      </c>
      <c r="P62" s="80" t="s">
        <v>316</v>
      </c>
      <c r="Q62" s="79">
        <v>43673</v>
      </c>
      <c r="R62" s="81">
        <v>1.1664009684313292</v>
      </c>
      <c r="S62" s="82">
        <v>18</v>
      </c>
      <c r="T62" s="83">
        <v>1830752.5355928224</v>
      </c>
      <c r="U62" s="83">
        <f>Tabla1[[#This Row],[V.I. Adj]]/1000000</f>
        <v>1.62816607</v>
      </c>
      <c r="V62" s="84" t="s">
        <v>317</v>
      </c>
      <c r="W62" s="84" t="s">
        <v>317</v>
      </c>
      <c r="X62" s="75" t="s">
        <v>1168</v>
      </c>
      <c r="Y62" s="85" t="s">
        <v>319</v>
      </c>
      <c r="Z62" s="86">
        <v>42936</v>
      </c>
      <c r="AA62" s="86">
        <v>42966</v>
      </c>
      <c r="AB62" s="86">
        <v>43332</v>
      </c>
      <c r="AC62" s="98">
        <v>43312</v>
      </c>
    </row>
    <row r="63" spans="4:29" x14ac:dyDescent="0.25">
      <c r="D63" s="23" t="s">
        <v>1214</v>
      </c>
      <c r="E63" s="23" t="s">
        <v>1169</v>
      </c>
      <c r="H63" s="75" t="s">
        <v>457</v>
      </c>
      <c r="I63" s="75" t="s">
        <v>1169</v>
      </c>
      <c r="K63">
        <f t="shared" si="0"/>
        <v>1</v>
      </c>
      <c r="M63" s="75" t="s">
        <v>453</v>
      </c>
      <c r="N63" s="75" t="s">
        <v>311</v>
      </c>
      <c r="O63" s="79">
        <v>43287</v>
      </c>
      <c r="P63" s="80" t="s">
        <v>316</v>
      </c>
      <c r="Q63" s="79">
        <v>43673</v>
      </c>
      <c r="R63" s="81">
        <v>0.48944345814284662</v>
      </c>
      <c r="S63" s="82">
        <v>24</v>
      </c>
      <c r="T63" s="83">
        <v>768217.68523513537</v>
      </c>
      <c r="U63" s="83">
        <f>Tabla1[[#This Row],[V.I. Adj]]/1000000</f>
        <v>2.0841064</v>
      </c>
      <c r="V63" s="84" t="s">
        <v>317</v>
      </c>
      <c r="W63" s="84" t="s">
        <v>317</v>
      </c>
      <c r="X63" s="75" t="s">
        <v>1169</v>
      </c>
      <c r="Y63" s="85" t="s">
        <v>319</v>
      </c>
      <c r="Z63" s="86">
        <v>42936</v>
      </c>
      <c r="AA63" s="86">
        <v>42966</v>
      </c>
      <c r="AB63" s="86">
        <v>43332</v>
      </c>
      <c r="AC63" s="98">
        <v>43312</v>
      </c>
    </row>
    <row r="64" spans="4:29" x14ac:dyDescent="0.25">
      <c r="D64" s="24" t="s">
        <v>1215</v>
      </c>
      <c r="E64" s="24" t="s">
        <v>1170</v>
      </c>
      <c r="H64" s="75" t="s">
        <v>459</v>
      </c>
      <c r="I64" s="75" t="s">
        <v>1170</v>
      </c>
      <c r="K64">
        <f t="shared" si="0"/>
        <v>1</v>
      </c>
      <c r="M64" s="75" t="s">
        <v>453</v>
      </c>
      <c r="N64" s="75" t="s">
        <v>311</v>
      </c>
      <c r="O64" s="79">
        <v>43287</v>
      </c>
      <c r="P64" s="80" t="s">
        <v>316</v>
      </c>
      <c r="Q64" s="79">
        <v>43673</v>
      </c>
      <c r="R64" s="81">
        <v>0.48944345814284662</v>
      </c>
      <c r="S64" s="82">
        <v>24</v>
      </c>
      <c r="T64" s="83">
        <v>768217.68523513537</v>
      </c>
      <c r="U64" s="83">
        <f>Tabla1[[#This Row],[V.I. Adj]]/1000000</f>
        <v>9.6699265000000008</v>
      </c>
      <c r="V64" s="84" t="s">
        <v>317</v>
      </c>
      <c r="W64" s="84" t="s">
        <v>317</v>
      </c>
      <c r="X64" s="75" t="s">
        <v>1170</v>
      </c>
      <c r="Y64" s="85" t="s">
        <v>319</v>
      </c>
      <c r="Z64" s="86">
        <v>42936</v>
      </c>
      <c r="AA64" s="86">
        <v>42966</v>
      </c>
      <c r="AB64" s="86">
        <v>43332</v>
      </c>
      <c r="AC64" s="98">
        <v>43312</v>
      </c>
    </row>
    <row r="65" spans="4:29" x14ac:dyDescent="0.25">
      <c r="D65" s="23" t="s">
        <v>1216</v>
      </c>
      <c r="E65" s="23" t="s">
        <v>1171</v>
      </c>
      <c r="H65" s="75" t="s">
        <v>461</v>
      </c>
      <c r="I65" s="75" t="s">
        <v>1171</v>
      </c>
      <c r="K65">
        <f t="shared" si="0"/>
        <v>1</v>
      </c>
      <c r="M65" s="75" t="s">
        <v>453</v>
      </c>
      <c r="N65" s="75" t="s">
        <v>311</v>
      </c>
      <c r="O65" s="79">
        <v>43287</v>
      </c>
      <c r="P65" s="80" t="s">
        <v>316</v>
      </c>
      <c r="Q65" s="79">
        <v>43673</v>
      </c>
      <c r="R65" s="81">
        <v>5.559738676046881</v>
      </c>
      <c r="S65" s="82">
        <v>18</v>
      </c>
      <c r="T65" s="83">
        <v>8726420.8054415379</v>
      </c>
      <c r="U65" s="83">
        <f>Tabla1[[#This Row],[V.I. Adj]]/1000000</f>
        <v>9.8295564199999994</v>
      </c>
      <c r="V65" s="84" t="s">
        <v>317</v>
      </c>
      <c r="W65" s="84" t="s">
        <v>317</v>
      </c>
      <c r="X65" s="75" t="s">
        <v>1171</v>
      </c>
      <c r="Y65" s="85" t="s">
        <v>319</v>
      </c>
      <c r="Z65" s="86">
        <v>42936</v>
      </c>
      <c r="AA65" s="86">
        <v>42966</v>
      </c>
      <c r="AB65" s="86">
        <v>43332</v>
      </c>
      <c r="AC65" s="98">
        <v>43312</v>
      </c>
    </row>
    <row r="66" spans="4:29" x14ac:dyDescent="0.25">
      <c r="D66" s="24" t="s">
        <v>1217</v>
      </c>
      <c r="E66" s="24" t="s">
        <v>1172</v>
      </c>
      <c r="H66" s="75" t="s">
        <v>464</v>
      </c>
      <c r="I66" s="75" t="s">
        <v>1172</v>
      </c>
      <c r="K66">
        <f t="shared" si="0"/>
        <v>1</v>
      </c>
      <c r="M66" s="75" t="s">
        <v>465</v>
      </c>
      <c r="N66" s="75" t="s">
        <v>323</v>
      </c>
      <c r="O66" s="79">
        <v>43607</v>
      </c>
      <c r="P66" s="82" t="s">
        <v>317</v>
      </c>
      <c r="Q66" s="82" t="s">
        <v>317</v>
      </c>
      <c r="R66" s="81">
        <v>5.061820006507622</v>
      </c>
      <c r="S66" s="82">
        <v>24</v>
      </c>
      <c r="T66" s="83">
        <v>8674973.5</v>
      </c>
      <c r="U66" s="83">
        <f>Tabla1[[#This Row],[V.I. Adj]]/1000000</f>
        <v>9.4110124567621085</v>
      </c>
      <c r="V66" s="84" t="s">
        <v>317</v>
      </c>
      <c r="W66" s="84" t="s">
        <v>317</v>
      </c>
      <c r="X66" s="75" t="s">
        <v>1172</v>
      </c>
      <c r="Y66" s="85" t="s">
        <v>319</v>
      </c>
      <c r="Z66" s="86">
        <v>42936</v>
      </c>
      <c r="AA66" s="86">
        <v>42966</v>
      </c>
      <c r="AB66" s="86">
        <v>43651</v>
      </c>
      <c r="AC66" s="98">
        <v>43636</v>
      </c>
    </row>
    <row r="67" spans="4:29" x14ac:dyDescent="0.25">
      <c r="D67" s="23" t="s">
        <v>1218</v>
      </c>
      <c r="E67" s="23" t="s">
        <v>1173</v>
      </c>
      <c r="H67" s="75" t="s">
        <v>467</v>
      </c>
      <c r="I67" s="75" t="s">
        <v>1173</v>
      </c>
      <c r="K67">
        <f t="shared" si="0"/>
        <v>1</v>
      </c>
      <c r="M67" s="75" t="s">
        <v>445</v>
      </c>
      <c r="N67" s="75" t="s">
        <v>363</v>
      </c>
      <c r="O67" s="79">
        <v>44005</v>
      </c>
      <c r="P67" s="82" t="s">
        <v>317</v>
      </c>
      <c r="Q67" s="82" t="s">
        <v>317</v>
      </c>
      <c r="R67" s="81">
        <v>2.092317813489442</v>
      </c>
      <c r="S67" s="82">
        <v>18</v>
      </c>
      <c r="T67" s="83">
        <v>2161040.3199999998</v>
      </c>
      <c r="U67" s="83">
        <f>Tabla1[[#This Row],[V.I. Adj]]/1000000</f>
        <v>14.962275921412576</v>
      </c>
      <c r="V67" s="84" t="s">
        <v>317</v>
      </c>
      <c r="W67" s="84" t="s">
        <v>317</v>
      </c>
      <c r="X67" s="75" t="s">
        <v>1173</v>
      </c>
      <c r="Y67" s="91">
        <v>418</v>
      </c>
      <c r="Z67" s="86">
        <v>42936</v>
      </c>
      <c r="AA67" s="86">
        <v>42966</v>
      </c>
      <c r="AB67" s="90" t="s">
        <v>317</v>
      </c>
      <c r="AC67" s="99" t="s">
        <v>317</v>
      </c>
    </row>
    <row r="68" spans="4:29" x14ac:dyDescent="0.25">
      <c r="D68" s="24" t="s">
        <v>1219</v>
      </c>
      <c r="E68" s="24" t="s">
        <v>1174</v>
      </c>
      <c r="H68" s="75" t="s">
        <v>469</v>
      </c>
      <c r="I68" s="75" t="s">
        <v>1174</v>
      </c>
      <c r="K68">
        <f t="shared" si="0"/>
        <v>1</v>
      </c>
      <c r="M68" s="75" t="s">
        <v>445</v>
      </c>
      <c r="N68" s="75" t="s">
        <v>363</v>
      </c>
      <c r="O68" s="79">
        <v>44005</v>
      </c>
      <c r="P68" s="82" t="s">
        <v>317</v>
      </c>
      <c r="Q68" s="82" t="s">
        <v>317</v>
      </c>
      <c r="R68" s="81">
        <v>1.5763893197328047</v>
      </c>
      <c r="S68" s="82">
        <v>18</v>
      </c>
      <c r="T68" s="83">
        <v>1628166.07</v>
      </c>
      <c r="U68" s="83">
        <f>Tabla1[[#This Row],[V.I. Adj]]/1000000</f>
        <v>5.0280145070501794</v>
      </c>
      <c r="V68" s="84" t="s">
        <v>317</v>
      </c>
      <c r="W68" s="84" t="s">
        <v>317</v>
      </c>
      <c r="X68" s="75" t="s">
        <v>1174</v>
      </c>
      <c r="Y68" s="91">
        <v>418</v>
      </c>
      <c r="Z68" s="86">
        <v>42936</v>
      </c>
      <c r="AA68" s="86">
        <v>42966</v>
      </c>
      <c r="AB68" s="90" t="s">
        <v>317</v>
      </c>
      <c r="AC68" s="99" t="s">
        <v>317</v>
      </c>
    </row>
    <row r="69" spans="4:29" x14ac:dyDescent="0.25">
      <c r="D69" s="23" t="s">
        <v>728</v>
      </c>
      <c r="E69" s="23" t="s">
        <v>1175</v>
      </c>
      <c r="H69" s="75" t="s">
        <v>471</v>
      </c>
      <c r="I69" s="75" t="s">
        <v>1175</v>
      </c>
      <c r="K69">
        <f t="shared" si="0"/>
        <v>1</v>
      </c>
      <c r="M69" s="75" t="s">
        <v>445</v>
      </c>
      <c r="N69" s="75" t="s">
        <v>363</v>
      </c>
      <c r="O69" s="79">
        <v>44005</v>
      </c>
      <c r="P69" s="82" t="s">
        <v>317</v>
      </c>
      <c r="Q69" s="82" t="s">
        <v>317</v>
      </c>
      <c r="R69" s="81">
        <v>1.8348832673233988</v>
      </c>
      <c r="S69" s="82">
        <v>18</v>
      </c>
      <c r="T69" s="83">
        <v>2084106.4</v>
      </c>
      <c r="U69" s="83">
        <f>Tabla1[[#This Row],[V.I. Adj]]/1000000</f>
        <v>19.715460510905576</v>
      </c>
      <c r="V69" s="84" t="s">
        <v>317</v>
      </c>
      <c r="W69" s="84" t="s">
        <v>317</v>
      </c>
      <c r="X69" s="75" t="s">
        <v>1175</v>
      </c>
      <c r="Y69" s="91">
        <v>293</v>
      </c>
      <c r="Z69" s="86">
        <v>42936</v>
      </c>
      <c r="AA69" s="86">
        <v>42966</v>
      </c>
      <c r="AB69" s="90" t="s">
        <v>317</v>
      </c>
      <c r="AC69" s="99" t="s">
        <v>317</v>
      </c>
    </row>
    <row r="70" spans="4:29" x14ac:dyDescent="0.25">
      <c r="D70" s="24" t="s">
        <v>1220</v>
      </c>
      <c r="E70" s="24" t="s">
        <v>1176</v>
      </c>
      <c r="H70" s="75" t="s">
        <v>473</v>
      </c>
      <c r="I70" s="75" t="s">
        <v>1176</v>
      </c>
      <c r="K70">
        <f t="shared" ref="K70:K71" si="1">+IF(E70=I70,1,0)</f>
        <v>1</v>
      </c>
      <c r="M70" s="75" t="s">
        <v>465</v>
      </c>
      <c r="N70" s="75" t="s">
        <v>323</v>
      </c>
      <c r="O70" s="79">
        <v>43607</v>
      </c>
      <c r="P70" s="82" t="s">
        <v>317</v>
      </c>
      <c r="Q70" s="82" t="s">
        <v>317</v>
      </c>
      <c r="R70" s="81">
        <v>5.6423719871619067</v>
      </c>
      <c r="S70" s="82">
        <v>24</v>
      </c>
      <c r="T70" s="83">
        <v>9669926.5</v>
      </c>
      <c r="U70" s="83">
        <f>Tabla1[[#This Row],[V.I. Adj]]/1000000</f>
        <v>33.835851308255471</v>
      </c>
      <c r="V70" s="84" t="s">
        <v>317</v>
      </c>
      <c r="W70" s="84" t="s">
        <v>317</v>
      </c>
      <c r="X70" s="75" t="s">
        <v>1176</v>
      </c>
      <c r="Y70" s="85" t="s">
        <v>319</v>
      </c>
      <c r="Z70" s="86">
        <v>42936</v>
      </c>
      <c r="AA70" s="86">
        <v>42966</v>
      </c>
      <c r="AB70" s="86">
        <v>43651</v>
      </c>
      <c r="AC70" s="98">
        <v>43636</v>
      </c>
    </row>
    <row r="71" spans="4:29" x14ac:dyDescent="0.25">
      <c r="D71" s="23" t="s">
        <v>1221</v>
      </c>
      <c r="E71" s="23" t="s">
        <v>1177</v>
      </c>
      <c r="H71" s="75" t="s">
        <v>476</v>
      </c>
      <c r="I71" s="75" t="s">
        <v>1177</v>
      </c>
      <c r="K71">
        <f t="shared" si="1"/>
        <v>1</v>
      </c>
      <c r="M71" s="75" t="s">
        <v>477</v>
      </c>
      <c r="N71" s="75" t="s">
        <v>363</v>
      </c>
      <c r="O71" s="79">
        <v>44005</v>
      </c>
      <c r="P71" s="82" t="s">
        <v>317</v>
      </c>
      <c r="Q71" s="82" t="s">
        <v>317</v>
      </c>
      <c r="R71" s="81">
        <v>7.5821359955159169</v>
      </c>
      <c r="S71" s="82">
        <v>36</v>
      </c>
      <c r="T71" s="83">
        <v>9829556.4199999999</v>
      </c>
      <c r="U71" s="83">
        <f>Tabla1[[#This Row],[V.I. Adj]]/1000000</f>
        <v>7.7396160172755142</v>
      </c>
      <c r="V71" s="84" t="s">
        <v>317</v>
      </c>
      <c r="W71" s="84" t="s">
        <v>317</v>
      </c>
      <c r="X71" s="75" t="s">
        <v>1177</v>
      </c>
      <c r="Y71" s="91">
        <v>418</v>
      </c>
      <c r="Z71" s="86">
        <v>42936</v>
      </c>
      <c r="AA71" s="86">
        <v>42966</v>
      </c>
      <c r="AB71" s="90" t="s">
        <v>317</v>
      </c>
      <c r="AC71" s="100" t="s">
        <v>317</v>
      </c>
    </row>
    <row r="72" spans="4:29" x14ac:dyDescent="0.25">
      <c r="D72" t="e">
        <f>+'BD GENERAL'!#REF!</f>
        <v>#REF!</v>
      </c>
      <c r="E72" t="e">
        <f>+'BD GENERAL'!#REF!</f>
        <v>#REF!</v>
      </c>
    </row>
    <row r="73" spans="4:29" x14ac:dyDescent="0.25">
      <c r="D73" t="str">
        <f>+'BD GENERAL'!I71</f>
        <v>Ampliación en S/E Calama</v>
      </c>
      <c r="E73" t="e">
        <f>+'BD GENERAL'!#REF!</f>
        <v>#REF!</v>
      </c>
    </row>
    <row r="74" spans="4:29" x14ac:dyDescent="0.25">
      <c r="D74" t="str">
        <f>+'BD GENERAL'!I72</f>
        <v>Ampliación en S/E Catemu</v>
      </c>
      <c r="E74" t="e">
        <f>+'BD GENERAL'!#REF!</f>
        <v>#REF!</v>
      </c>
    </row>
    <row r="75" spans="4:29" x14ac:dyDescent="0.25">
      <c r="D75" t="e">
        <f>+'BD GENERAL'!#REF!</f>
        <v>#REF!</v>
      </c>
      <c r="E75" t="e">
        <f>+'BD GENERAL'!#REF!</f>
        <v>#REF!</v>
      </c>
    </row>
    <row r="76" spans="4:29" x14ac:dyDescent="0.25">
      <c r="D76" t="e">
        <f>+'BD GENERAL'!#REF!</f>
        <v>#REF!</v>
      </c>
      <c r="E76" t="e">
        <f>+'BD GENERAL'!#REF!</f>
        <v>#REF!</v>
      </c>
    </row>
    <row r="77" spans="4:29" x14ac:dyDescent="0.25">
      <c r="D77" t="e">
        <f>+'BD GENERAL'!#REF!</f>
        <v>#REF!</v>
      </c>
      <c r="E77" t="e">
        <f>+'BD GENERAL'!#REF!</f>
        <v>#REF!</v>
      </c>
    </row>
    <row r="78" spans="4:29" x14ac:dyDescent="0.25">
      <c r="D78" t="e">
        <f>+'BD GENERAL'!#REF!</f>
        <v>#REF!</v>
      </c>
      <c r="E78" t="e">
        <f>+'BD GENERAL'!#REF!</f>
        <v>#REF!</v>
      </c>
    </row>
    <row r="79" spans="4:29" x14ac:dyDescent="0.25">
      <c r="D79" t="e">
        <f>+'BD GENERAL'!#REF!</f>
        <v>#REF!</v>
      </c>
      <c r="E79" t="e">
        <f>+'BD GENERAL'!#REF!</f>
        <v>#REF!</v>
      </c>
    </row>
  </sheetData>
  <hyperlinks>
    <hyperlink ref="P5" r:id="rId1" xr:uid="{277A871B-A58E-4F44-B61E-E34383DEE9EF}"/>
    <hyperlink ref="P6" r:id="rId2" xr:uid="{E59F162D-9402-4229-AF60-99E6405C46F4}"/>
    <hyperlink ref="P8" r:id="rId3" xr:uid="{9CE59FAD-9763-4BA5-8E53-C52457F960EF}"/>
    <hyperlink ref="P9" r:id="rId4" xr:uid="{31857B19-297E-412C-94C3-FBE3B5212090}"/>
    <hyperlink ref="P10" r:id="rId5" xr:uid="{3343AA5F-77B2-4A75-ADAB-44ECE5DFC8A2}"/>
    <hyperlink ref="P11" r:id="rId6" xr:uid="{D5455503-BB23-4237-BF97-CC71CC857AFE}"/>
    <hyperlink ref="P12" r:id="rId7" xr:uid="{09B5FB66-8363-42B9-9319-D50DE9B8DB93}"/>
    <hyperlink ref="P13" r:id="rId8" xr:uid="{C52BCA86-EA9C-4973-9735-22EE55A146DD}"/>
    <hyperlink ref="P14" r:id="rId9" xr:uid="{9DA75CF0-265D-4B01-8996-42D39D9C6537}"/>
    <hyperlink ref="P15" r:id="rId10" xr:uid="{03CD2EF6-E6F3-4183-9AD4-05765756ED34}"/>
    <hyperlink ref="P16" r:id="rId11" xr:uid="{147FDD63-09DC-497C-8C95-AD32613037D7}"/>
    <hyperlink ref="P17" r:id="rId12" xr:uid="{51C8A183-9462-4A25-B3AC-87B35EFD04DC}"/>
    <hyperlink ref="P18" r:id="rId13" xr:uid="{86AA64BA-14D5-47ED-B483-70BB65E3441E}"/>
    <hyperlink ref="P19" r:id="rId14" xr:uid="{A67C51F6-91B4-47A5-9475-CEB9C7AA4EC2}"/>
    <hyperlink ref="P24" r:id="rId15" xr:uid="{C0507F82-5BEB-4B45-9177-B6EA6D6E0FCC}"/>
    <hyperlink ref="P25" r:id="rId16" xr:uid="{330CF9C7-E30A-4BD8-8F2B-2170666AD7B7}"/>
    <hyperlink ref="P26" r:id="rId17" xr:uid="{F4DE9123-C2E5-4E9F-AB3C-F2AD1F156D70}"/>
    <hyperlink ref="P27" r:id="rId18" xr:uid="{697AD02C-95A4-42DE-90E1-0E653647585A}"/>
    <hyperlink ref="P28" r:id="rId19" xr:uid="{2C133A63-3A1D-4958-8BC1-2137EE2FBC2A}"/>
    <hyperlink ref="P29" r:id="rId20" xr:uid="{FA77C32C-88C7-421F-A36A-5A016B61B801}"/>
    <hyperlink ref="P30" r:id="rId21" xr:uid="{5230D0BD-20C7-44F1-B16C-01B813C3226B}"/>
    <hyperlink ref="P31" r:id="rId22" xr:uid="{83F0A7C4-5C38-4B19-AAFC-3277A0E860E9}"/>
    <hyperlink ref="P32" r:id="rId23" xr:uid="{0C91D85D-5A85-46BF-A0B1-F165BC6D6870}"/>
    <hyperlink ref="P34" r:id="rId24" xr:uid="{557D4988-E301-437E-9630-8E75C9A777A9}"/>
    <hyperlink ref="P40" r:id="rId25" xr:uid="{43D24590-491D-490B-88CE-22BA08605FA6}"/>
    <hyperlink ref="P41" r:id="rId26" xr:uid="{AB1FE579-A525-4884-BA6E-F6FE75DD6B1F}"/>
    <hyperlink ref="P42" r:id="rId27" xr:uid="{BDFAE888-13E7-4F03-A5F1-51415FA00646}"/>
    <hyperlink ref="P43" r:id="rId28" xr:uid="{39636EB1-2E76-425E-88E4-174991684B69}"/>
    <hyperlink ref="P44" r:id="rId29" xr:uid="{ED452BA8-5C40-4191-BD29-47A5E58147DB}"/>
    <hyperlink ref="P45" r:id="rId30" xr:uid="{1BE64F89-0E93-48ED-BD35-F64D586639EA}"/>
    <hyperlink ref="P46" r:id="rId31" xr:uid="{E12B57EF-60AB-460E-82A5-16C511182D61}"/>
    <hyperlink ref="P47" r:id="rId32" xr:uid="{6380B2E0-4822-42B6-86E1-F4F1A17ADD9A}"/>
    <hyperlink ref="P48" r:id="rId33" xr:uid="{3D6A3D04-64C1-466E-8D76-78536C45AEB6}"/>
    <hyperlink ref="P49" r:id="rId34" xr:uid="{E31780B5-334E-46BB-A60B-88F0DA3F0101}"/>
    <hyperlink ref="P50" r:id="rId35" xr:uid="{832516F3-6CB1-4AD8-AE68-96F92118B305}"/>
    <hyperlink ref="P51" r:id="rId36" xr:uid="{8EF6CB42-534C-4AA2-9860-9D22439CFBA9}"/>
    <hyperlink ref="P52" r:id="rId37" xr:uid="{CB5B5F0B-3627-4758-B5A2-D63865EFD659}"/>
    <hyperlink ref="P61" r:id="rId38" xr:uid="{56D4C29E-F6FB-4C80-8FD2-F55836A061B4}"/>
    <hyperlink ref="P62" r:id="rId39" xr:uid="{A6ED6E4C-476D-4FAD-A2B2-D3E108AED6B1}"/>
    <hyperlink ref="P63" r:id="rId40" xr:uid="{6375443B-B1BF-4809-B2EC-2C7DE4D9B74A}"/>
    <hyperlink ref="P64" r:id="rId41" xr:uid="{9F36D694-AAB0-43A3-AC3E-8D96FD4C08F5}"/>
    <hyperlink ref="P65" r:id="rId42" xr:uid="{C617D5CF-8263-4F72-96B8-7702181CC128}"/>
  </hyperlinks>
  <pageMargins left="0.7" right="0.7" top="0.75" bottom="0.75" header="0.3" footer="0.3"/>
  <tableParts count="1">
    <tablePart r:id="rId4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E245-6D2D-4E18-8427-D6ADED560528}">
  <sheetPr codeName="Hoja6">
    <tabColor theme="9"/>
  </sheetPr>
  <dimension ref="A1:AN295"/>
  <sheetViews>
    <sheetView showZeros="0" topLeftCell="U1" zoomScale="70" zoomScaleNormal="70" workbookViewId="0">
      <selection activeCell="N16" sqref="N16"/>
    </sheetView>
  </sheetViews>
  <sheetFormatPr baseColWidth="10" defaultColWidth="11.42578125" defaultRowHeight="15" x14ac:dyDescent="0.25"/>
  <cols>
    <col min="1" max="1" width="7.5703125" style="67" customWidth="1"/>
    <col min="2" max="2" width="10" style="67" customWidth="1"/>
    <col min="3" max="3" width="16.140625" style="67" bestFit="1" customWidth="1"/>
    <col min="4" max="4" width="9.7109375" style="67" customWidth="1"/>
    <col min="5" max="5" width="25.28515625" style="67" customWidth="1"/>
    <col min="6" max="6" width="21.28515625" style="67" customWidth="1"/>
    <col min="7" max="7" width="11.85546875" style="67" customWidth="1"/>
    <col min="8" max="8" width="31.7109375" style="67" customWidth="1"/>
    <col min="9" max="9" width="17.42578125" style="67" customWidth="1"/>
    <col min="10" max="10" width="10.7109375" style="67" customWidth="1"/>
    <col min="11" max="11" width="22.5703125" style="13" bestFit="1" customWidth="1"/>
    <col min="12" max="12" width="43.140625" style="13" customWidth="1"/>
    <col min="13" max="13" width="50.85546875" style="13" customWidth="1"/>
    <col min="14" max="14" width="60.28515625" style="67" customWidth="1"/>
    <col min="15" max="15" width="65.5703125" style="67" customWidth="1"/>
    <col min="16" max="16" width="18.5703125" style="67" customWidth="1"/>
    <col min="17" max="17" width="17.7109375" style="13" customWidth="1"/>
    <col min="18" max="18" width="23.7109375" style="13" customWidth="1"/>
    <col min="19" max="19" width="17.42578125" style="13" customWidth="1"/>
    <col min="20" max="20" width="17.28515625" style="13" customWidth="1"/>
    <col min="21" max="21" width="11.42578125" style="69" bestFit="1" customWidth="1"/>
    <col min="22" max="22" width="21.85546875" style="13" bestFit="1" customWidth="1"/>
    <col min="23" max="23" width="21.85546875" style="70" bestFit="1" customWidth="1"/>
    <col min="24" max="24" width="18.28515625" style="70" bestFit="1" customWidth="1"/>
    <col min="25" max="25" width="15" style="70" customWidth="1"/>
    <col min="26" max="26" width="15.5703125" style="70" bestFit="1" customWidth="1"/>
    <col min="27" max="27" width="14.140625" style="71" bestFit="1" customWidth="1"/>
    <col min="28" max="28" width="16" style="71" bestFit="1" customWidth="1"/>
    <col min="29" max="29" width="13.5703125" style="71" bestFit="1" customWidth="1"/>
    <col min="30" max="30" width="28.7109375" style="67" customWidth="1"/>
    <col min="31" max="31" width="20.5703125" style="67" customWidth="1"/>
    <col min="32" max="32" width="32.28515625" style="67" customWidth="1"/>
    <col min="33" max="33" width="21.140625" style="67" customWidth="1"/>
    <col min="34" max="34" width="28.42578125" style="72" customWidth="1"/>
    <col min="35" max="35" width="25" style="67" bestFit="1" customWidth="1"/>
    <col min="36" max="36" width="24.42578125" style="67" bestFit="1" customWidth="1"/>
    <col min="37" max="37" width="22.42578125" style="67" bestFit="1" customWidth="1"/>
    <col min="38" max="38" width="22.42578125" style="73" bestFit="1" customWidth="1"/>
    <col min="39" max="39" width="11.42578125" style="67" customWidth="1"/>
    <col min="40" max="40" width="16.140625" style="68" bestFit="1" customWidth="1"/>
    <col min="41" max="16384" width="11.42578125" style="67"/>
  </cols>
  <sheetData>
    <row r="1" spans="1:39" s="13" customFormat="1" ht="44.1" customHeight="1" x14ac:dyDescent="0.25">
      <c r="A1" s="26" t="s">
        <v>0</v>
      </c>
      <c r="B1" s="26" t="s">
        <v>1</v>
      </c>
      <c r="C1" s="4" t="s">
        <v>276</v>
      </c>
      <c r="D1" s="13" t="s">
        <v>2</v>
      </c>
      <c r="E1" s="1" t="s">
        <v>3</v>
      </c>
      <c r="F1" s="13" t="s">
        <v>4</v>
      </c>
      <c r="G1" s="13" t="s">
        <v>277</v>
      </c>
      <c r="H1" s="13" t="s">
        <v>278</v>
      </c>
      <c r="I1" s="1" t="s">
        <v>279</v>
      </c>
      <c r="J1" s="1" t="s">
        <v>280</v>
      </c>
      <c r="K1" s="1" t="s">
        <v>281</v>
      </c>
      <c r="L1" s="1" t="s">
        <v>282</v>
      </c>
      <c r="M1" s="13" t="s">
        <v>283</v>
      </c>
      <c r="N1" s="13" t="s">
        <v>284</v>
      </c>
      <c r="O1" s="13" t="s">
        <v>285</v>
      </c>
      <c r="P1" s="1" t="s">
        <v>286</v>
      </c>
      <c r="Q1" s="13" t="s">
        <v>287</v>
      </c>
      <c r="R1" s="1" t="s">
        <v>288</v>
      </c>
      <c r="S1" s="1" t="s">
        <v>289</v>
      </c>
      <c r="T1" s="1" t="s">
        <v>290</v>
      </c>
      <c r="U1" s="1" t="s">
        <v>291</v>
      </c>
      <c r="V1" s="27" t="s">
        <v>292</v>
      </c>
      <c r="W1" s="27" t="s">
        <v>293</v>
      </c>
      <c r="X1" s="27" t="s">
        <v>294</v>
      </c>
      <c r="Y1" s="28" t="s">
        <v>295</v>
      </c>
      <c r="Z1" s="29" t="s">
        <v>296</v>
      </c>
      <c r="AA1" s="29" t="s">
        <v>297</v>
      </c>
      <c r="AB1" s="29" t="s">
        <v>298</v>
      </c>
      <c r="AC1" s="13" t="s">
        <v>5</v>
      </c>
      <c r="AD1" s="1" t="s">
        <v>299</v>
      </c>
      <c r="AE1" s="1" t="s">
        <v>300</v>
      </c>
      <c r="AF1" s="1" t="s">
        <v>6</v>
      </c>
      <c r="AG1" s="30" t="s">
        <v>301</v>
      </c>
      <c r="AH1" s="1" t="s">
        <v>302</v>
      </c>
      <c r="AI1" s="1" t="s">
        <v>303</v>
      </c>
      <c r="AJ1" s="1" t="s">
        <v>304</v>
      </c>
      <c r="AK1" s="1" t="s">
        <v>305</v>
      </c>
      <c r="AL1" s="1"/>
      <c r="AM1" s="31"/>
    </row>
    <row r="2" spans="1:39" s="7" customFormat="1" ht="15.6" customHeight="1" x14ac:dyDescent="0.25">
      <c r="A2" s="7" t="str">
        <f>+MID(Tabla1[[#This Row],[N° Decreto
Expansión]],1,4)</f>
        <v>2017</v>
      </c>
      <c r="B2" s="7" t="str">
        <f>+RIGHT(Tabla1[[#This Row],[N° Decreto
Expansión]],3)</f>
        <v>418</v>
      </c>
      <c r="C2" s="32" t="s">
        <v>306</v>
      </c>
      <c r="D2" s="7" t="s">
        <v>307</v>
      </c>
      <c r="E2" s="7" t="s">
        <v>17</v>
      </c>
      <c r="F2" s="7" t="s">
        <v>308</v>
      </c>
      <c r="G2" s="7" t="s">
        <v>309</v>
      </c>
      <c r="H2" s="7" t="s">
        <v>310</v>
      </c>
      <c r="I2" s="7" t="s">
        <v>311</v>
      </c>
      <c r="J2" s="7">
        <v>1</v>
      </c>
      <c r="K2" s="33" t="s">
        <v>312</v>
      </c>
      <c r="L2" s="7" t="s">
        <v>313</v>
      </c>
      <c r="M2" s="7" t="s">
        <v>313</v>
      </c>
      <c r="N2" s="7" t="s">
        <v>314</v>
      </c>
      <c r="O2" s="7" t="s">
        <v>315</v>
      </c>
      <c r="P2" s="7" t="s">
        <v>311</v>
      </c>
      <c r="Q2" s="34">
        <v>43287</v>
      </c>
      <c r="R2" s="35" t="s">
        <v>316</v>
      </c>
      <c r="S2" s="34">
        <v>43673</v>
      </c>
      <c r="T2" s="36">
        <v>1.8814969300036701</v>
      </c>
      <c r="U2" s="33">
        <v>18</v>
      </c>
      <c r="V2" s="37">
        <v>6103918.0000000009</v>
      </c>
      <c r="W2" s="37">
        <f>Tabla1[[#This Row],[V.I. Adj]]/1000000</f>
        <v>6.1039180000000011</v>
      </c>
      <c r="X2" s="38" t="s">
        <v>317</v>
      </c>
      <c r="Y2" s="38" t="s">
        <v>317</v>
      </c>
      <c r="Z2" s="38" t="s">
        <v>317</v>
      </c>
      <c r="AA2" s="38" t="s">
        <v>317</v>
      </c>
      <c r="AB2" s="38" t="s">
        <v>317</v>
      </c>
      <c r="AC2" s="7" t="s">
        <v>27</v>
      </c>
      <c r="AD2" s="39" t="s">
        <v>317</v>
      </c>
      <c r="AE2" s="39" t="s">
        <v>317</v>
      </c>
      <c r="AF2" s="7" t="s">
        <v>1114</v>
      </c>
      <c r="AG2" s="40" t="s">
        <v>319</v>
      </c>
      <c r="AH2" s="41">
        <v>42936</v>
      </c>
      <c r="AI2" s="41">
        <v>42966</v>
      </c>
      <c r="AJ2" s="41">
        <v>43328</v>
      </c>
      <c r="AK2" s="42">
        <v>43312</v>
      </c>
      <c r="AM2" s="43" t="s">
        <v>318</v>
      </c>
    </row>
    <row r="3" spans="1:39" s="7" customFormat="1" x14ac:dyDescent="0.25">
      <c r="A3" s="7" t="str">
        <f>+MID(Tabla1[[#This Row],[N° Decreto
Expansión]],1,4)</f>
        <v>2017</v>
      </c>
      <c r="B3" s="7" t="str">
        <f>+RIGHT(Tabla1[[#This Row],[N° Decreto
Expansión]],3)</f>
        <v>418</v>
      </c>
      <c r="C3" s="32" t="s">
        <v>306</v>
      </c>
      <c r="D3" s="7" t="s">
        <v>307</v>
      </c>
      <c r="E3" s="7" t="s">
        <v>17</v>
      </c>
      <c r="F3" s="7" t="s">
        <v>308</v>
      </c>
      <c r="G3" s="7" t="s">
        <v>309</v>
      </c>
      <c r="H3" s="7" t="s">
        <v>310</v>
      </c>
      <c r="I3" s="7" t="s">
        <v>311</v>
      </c>
      <c r="J3" s="7">
        <v>1</v>
      </c>
      <c r="K3" s="33" t="s">
        <v>312</v>
      </c>
      <c r="L3" s="7" t="s">
        <v>320</v>
      </c>
      <c r="M3" s="7" t="s">
        <v>320</v>
      </c>
      <c r="N3" s="7" t="s">
        <v>321</v>
      </c>
      <c r="O3" s="7" t="s">
        <v>315</v>
      </c>
      <c r="P3" s="7" t="s">
        <v>311</v>
      </c>
      <c r="Q3" s="34">
        <v>43287</v>
      </c>
      <c r="R3" s="35" t="s">
        <v>316</v>
      </c>
      <c r="S3" s="34">
        <v>43673</v>
      </c>
      <c r="T3" s="36">
        <v>2.144228483292471</v>
      </c>
      <c r="U3" s="1">
        <v>18</v>
      </c>
      <c r="V3" s="37">
        <v>5955309</v>
      </c>
      <c r="W3" s="37">
        <f>Tabla1[[#This Row],[V.I. Adj]]/1000000</f>
        <v>5.9553089999999997</v>
      </c>
      <c r="X3" s="38" t="s">
        <v>317</v>
      </c>
      <c r="Y3" s="38" t="s">
        <v>317</v>
      </c>
      <c r="Z3" s="38" t="s">
        <v>317</v>
      </c>
      <c r="AA3" s="38" t="s">
        <v>317</v>
      </c>
      <c r="AB3" s="38" t="s">
        <v>317</v>
      </c>
      <c r="AC3" s="7" t="s">
        <v>27</v>
      </c>
      <c r="AD3" s="39" t="s">
        <v>317</v>
      </c>
      <c r="AE3" s="39" t="s">
        <v>317</v>
      </c>
      <c r="AF3" s="7" t="s">
        <v>1115</v>
      </c>
      <c r="AG3" s="40" t="s">
        <v>319</v>
      </c>
      <c r="AH3" s="41">
        <v>42936</v>
      </c>
      <c r="AI3" s="41">
        <v>42966</v>
      </c>
      <c r="AJ3" s="41">
        <v>43328</v>
      </c>
      <c r="AK3" s="42">
        <v>43312</v>
      </c>
      <c r="AM3" s="43" t="s">
        <v>322</v>
      </c>
    </row>
    <row r="4" spans="1:39" s="7" customFormat="1" x14ac:dyDescent="0.25">
      <c r="A4" s="7" t="str">
        <f>+MID(Tabla1[[#This Row],[N° Decreto
Expansión]],1,4)</f>
        <v>2017</v>
      </c>
      <c r="B4" s="7" t="str">
        <f>+RIGHT(Tabla1[[#This Row],[N° Decreto
Expansión]],3)</f>
        <v>418</v>
      </c>
      <c r="C4" s="32" t="s">
        <v>306</v>
      </c>
      <c r="D4" s="7" t="s">
        <v>307</v>
      </c>
      <c r="E4" s="7" t="s">
        <v>17</v>
      </c>
      <c r="F4" s="7" t="s">
        <v>308</v>
      </c>
      <c r="G4" s="7" t="s">
        <v>309</v>
      </c>
      <c r="H4" s="7" t="s">
        <v>310</v>
      </c>
      <c r="I4" s="7" t="s">
        <v>323</v>
      </c>
      <c r="J4" s="7">
        <v>2</v>
      </c>
      <c r="K4" s="33" t="s">
        <v>312</v>
      </c>
      <c r="L4" s="7" t="s">
        <v>324</v>
      </c>
      <c r="M4" s="7" t="s">
        <v>324</v>
      </c>
      <c r="N4" s="7" t="s">
        <v>325</v>
      </c>
      <c r="O4" s="7" t="s">
        <v>326</v>
      </c>
      <c r="P4" s="7" t="s">
        <v>323</v>
      </c>
      <c r="Q4" s="34">
        <v>43607</v>
      </c>
      <c r="R4" s="33" t="s">
        <v>317</v>
      </c>
      <c r="S4" s="33" t="s">
        <v>317</v>
      </c>
      <c r="T4" s="36">
        <v>5.6656788185020419</v>
      </c>
      <c r="U4" s="33">
        <v>18</v>
      </c>
      <c r="V4" s="37">
        <v>8100400</v>
      </c>
      <c r="W4" s="37">
        <f>Tabla1[[#This Row],[V.I. Adj]]/1000000</f>
        <v>8.1004000000000005</v>
      </c>
      <c r="X4" s="38" t="s">
        <v>317</v>
      </c>
      <c r="Y4" s="38" t="s">
        <v>317</v>
      </c>
      <c r="Z4" s="38" t="s">
        <v>317</v>
      </c>
      <c r="AA4" s="38" t="s">
        <v>317</v>
      </c>
      <c r="AB4" s="38" t="s">
        <v>317</v>
      </c>
      <c r="AC4" s="7" t="s">
        <v>27</v>
      </c>
      <c r="AD4" s="39" t="s">
        <v>317</v>
      </c>
      <c r="AE4" s="39" t="s">
        <v>317</v>
      </c>
      <c r="AF4" s="7" t="s">
        <v>1116</v>
      </c>
      <c r="AG4" s="40" t="s">
        <v>319</v>
      </c>
      <c r="AH4" s="41">
        <v>42936</v>
      </c>
      <c r="AI4" s="41">
        <v>42966</v>
      </c>
      <c r="AJ4" s="41">
        <v>43651</v>
      </c>
      <c r="AK4" s="42">
        <v>43636</v>
      </c>
      <c r="AM4" s="43" t="s">
        <v>327</v>
      </c>
    </row>
    <row r="5" spans="1:39" s="7" customFormat="1" x14ac:dyDescent="0.25">
      <c r="A5" s="7" t="str">
        <f>+MID(Tabla1[[#This Row],[N° Decreto
Expansión]],1,4)</f>
        <v>2017</v>
      </c>
      <c r="B5" s="7" t="str">
        <f>+RIGHT(Tabla1[[#This Row],[N° Decreto
Expansión]],3)</f>
        <v>418</v>
      </c>
      <c r="C5" s="32" t="s">
        <v>306</v>
      </c>
      <c r="D5" s="7" t="s">
        <v>307</v>
      </c>
      <c r="E5" s="7" t="s">
        <v>17</v>
      </c>
      <c r="F5" s="7" t="s">
        <v>308</v>
      </c>
      <c r="G5" s="7" t="s">
        <v>309</v>
      </c>
      <c r="H5" s="7" t="s">
        <v>310</v>
      </c>
      <c r="I5" s="7" t="s">
        <v>311</v>
      </c>
      <c r="J5" s="7">
        <v>1</v>
      </c>
      <c r="K5" s="33" t="s">
        <v>312</v>
      </c>
      <c r="L5" s="7" t="s">
        <v>313</v>
      </c>
      <c r="M5" s="7" t="s">
        <v>313</v>
      </c>
      <c r="N5" s="7" t="s">
        <v>328</v>
      </c>
      <c r="O5" s="7" t="s">
        <v>329</v>
      </c>
      <c r="P5" s="7" t="s">
        <v>311</v>
      </c>
      <c r="Q5" s="34">
        <v>43287</v>
      </c>
      <c r="R5" s="35" t="s">
        <v>316</v>
      </c>
      <c r="S5" s="34">
        <v>43673</v>
      </c>
      <c r="T5" s="36">
        <v>2.4048412337321685</v>
      </c>
      <c r="U5" s="33">
        <v>18</v>
      </c>
      <c r="V5" s="37">
        <v>7541833.6100000013</v>
      </c>
      <c r="W5" s="37">
        <f>Tabla1[[#This Row],[V.I. Adj]]/1000000</f>
        <v>7.5418336100000012</v>
      </c>
      <c r="X5" s="38" t="s">
        <v>317</v>
      </c>
      <c r="Y5" s="38" t="s">
        <v>317</v>
      </c>
      <c r="Z5" s="38" t="s">
        <v>317</v>
      </c>
      <c r="AA5" s="38" t="s">
        <v>317</v>
      </c>
      <c r="AB5" s="38" t="s">
        <v>317</v>
      </c>
      <c r="AC5" s="7" t="s">
        <v>27</v>
      </c>
      <c r="AD5" s="39" t="s">
        <v>317</v>
      </c>
      <c r="AE5" s="39" t="s">
        <v>317</v>
      </c>
      <c r="AF5" s="7" t="s">
        <v>1117</v>
      </c>
      <c r="AG5" s="40" t="s">
        <v>319</v>
      </c>
      <c r="AH5" s="41">
        <v>42936</v>
      </c>
      <c r="AI5" s="41">
        <v>42966</v>
      </c>
      <c r="AJ5" s="41">
        <v>43328</v>
      </c>
      <c r="AK5" s="42">
        <v>43312</v>
      </c>
      <c r="AM5" s="43" t="s">
        <v>330</v>
      </c>
    </row>
    <row r="6" spans="1:39" s="7" customFormat="1" x14ac:dyDescent="0.25">
      <c r="A6" s="7" t="str">
        <f>+MID(Tabla1[[#This Row],[N° Decreto
Expansión]],1,4)</f>
        <v>2017</v>
      </c>
      <c r="B6" s="7" t="str">
        <f>+RIGHT(Tabla1[[#This Row],[N° Decreto
Expansión]],3)</f>
        <v>418</v>
      </c>
      <c r="C6" s="32" t="s">
        <v>306</v>
      </c>
      <c r="D6" s="7" t="s">
        <v>307</v>
      </c>
      <c r="E6" s="7" t="s">
        <v>17</v>
      </c>
      <c r="F6" s="7" t="s">
        <v>308</v>
      </c>
      <c r="G6" s="7" t="s">
        <v>309</v>
      </c>
      <c r="H6" s="7" t="s">
        <v>310</v>
      </c>
      <c r="I6" s="7" t="s">
        <v>311</v>
      </c>
      <c r="J6" s="7">
        <v>1</v>
      </c>
      <c r="K6" s="33" t="s">
        <v>312</v>
      </c>
      <c r="L6" s="7" t="s">
        <v>324</v>
      </c>
      <c r="M6" s="7" t="s">
        <v>324</v>
      </c>
      <c r="N6" s="7" t="s">
        <v>331</v>
      </c>
      <c r="O6" s="7" t="s">
        <v>332</v>
      </c>
      <c r="P6" s="7" t="s">
        <v>311</v>
      </c>
      <c r="Q6" s="34">
        <v>43287</v>
      </c>
      <c r="R6" s="35" t="s">
        <v>316</v>
      </c>
      <c r="S6" s="34">
        <v>43673</v>
      </c>
      <c r="T6" s="36">
        <v>11.214823480303407</v>
      </c>
      <c r="U6" s="33">
        <v>28</v>
      </c>
      <c r="V6" s="37">
        <v>12158021</v>
      </c>
      <c r="W6" s="37">
        <f>Tabla1[[#This Row],[V.I. Adj]]/1000000</f>
        <v>12.158021</v>
      </c>
      <c r="X6" s="38" t="s">
        <v>317</v>
      </c>
      <c r="Y6" s="38" t="s">
        <v>317</v>
      </c>
      <c r="Z6" s="38" t="s">
        <v>317</v>
      </c>
      <c r="AA6" s="38" t="s">
        <v>317</v>
      </c>
      <c r="AB6" s="38" t="s">
        <v>317</v>
      </c>
      <c r="AC6" s="7" t="s">
        <v>26</v>
      </c>
      <c r="AD6" s="39" t="s">
        <v>317</v>
      </c>
      <c r="AE6" s="39" t="s">
        <v>317</v>
      </c>
      <c r="AF6" s="7" t="s">
        <v>1118</v>
      </c>
      <c r="AG6" s="40" t="s">
        <v>319</v>
      </c>
      <c r="AH6" s="41">
        <v>42936</v>
      </c>
      <c r="AI6" s="41">
        <v>42966</v>
      </c>
      <c r="AJ6" s="41">
        <v>43340</v>
      </c>
      <c r="AK6" s="44">
        <v>43312</v>
      </c>
      <c r="AM6" s="43" t="s">
        <v>333</v>
      </c>
    </row>
    <row r="7" spans="1:39" s="7" customFormat="1" x14ac:dyDescent="0.25">
      <c r="A7" s="7" t="str">
        <f>+MID(Tabla1[[#This Row],[N° Decreto
Expansión]],1,4)</f>
        <v>2017</v>
      </c>
      <c r="B7" s="7" t="str">
        <f>+RIGHT(Tabla1[[#This Row],[N° Decreto
Expansión]],3)</f>
        <v>418</v>
      </c>
      <c r="C7" s="32" t="s">
        <v>306</v>
      </c>
      <c r="D7" s="7" t="s">
        <v>307</v>
      </c>
      <c r="E7" s="7" t="s">
        <v>17</v>
      </c>
      <c r="F7" s="7" t="s">
        <v>308</v>
      </c>
      <c r="G7" s="7" t="s">
        <v>309</v>
      </c>
      <c r="H7" s="7" t="s">
        <v>310</v>
      </c>
      <c r="I7" s="7" t="s">
        <v>311</v>
      </c>
      <c r="J7" s="7">
        <v>1</v>
      </c>
      <c r="K7" s="33" t="s">
        <v>312</v>
      </c>
      <c r="L7" s="7" t="s">
        <v>334</v>
      </c>
      <c r="M7" s="7" t="s">
        <v>334</v>
      </c>
      <c r="N7" s="7" t="s">
        <v>335</v>
      </c>
      <c r="O7" s="7" t="s">
        <v>336</v>
      </c>
      <c r="P7" s="7" t="s">
        <v>311</v>
      </c>
      <c r="Q7" s="34">
        <v>43287</v>
      </c>
      <c r="R7" s="35" t="s">
        <v>316</v>
      </c>
      <c r="S7" s="34">
        <v>43673</v>
      </c>
      <c r="T7" s="36">
        <v>4.5882675697330493</v>
      </c>
      <c r="U7" s="33">
        <v>24</v>
      </c>
      <c r="V7" s="37">
        <v>5237634.7032609265</v>
      </c>
      <c r="W7" s="37">
        <f>Tabla1[[#This Row],[V.I. Adj]]/1000000</f>
        <v>5.2376347032609267</v>
      </c>
      <c r="X7" s="38" t="s">
        <v>317</v>
      </c>
      <c r="Y7" s="38" t="s">
        <v>317</v>
      </c>
      <c r="Z7" s="38" t="s">
        <v>317</v>
      </c>
      <c r="AA7" s="38" t="s">
        <v>317</v>
      </c>
      <c r="AB7" s="38" t="s">
        <v>317</v>
      </c>
      <c r="AC7" s="7" t="s">
        <v>27</v>
      </c>
      <c r="AD7" s="39" t="s">
        <v>317</v>
      </c>
      <c r="AE7" s="39" t="s">
        <v>317</v>
      </c>
      <c r="AF7" s="7" t="s">
        <v>1119</v>
      </c>
      <c r="AG7" s="40" t="s">
        <v>319</v>
      </c>
      <c r="AH7" s="41">
        <v>42936</v>
      </c>
      <c r="AI7" s="41">
        <v>42966</v>
      </c>
      <c r="AJ7" s="41">
        <v>43328</v>
      </c>
      <c r="AK7" s="42">
        <v>43312</v>
      </c>
      <c r="AM7" s="43" t="s">
        <v>337</v>
      </c>
    </row>
    <row r="8" spans="1:39" s="7" customFormat="1" x14ac:dyDescent="0.25">
      <c r="A8" s="7" t="str">
        <f>+MID(Tabla1[[#This Row],[N° Decreto
Expansión]],1,4)</f>
        <v>2017</v>
      </c>
      <c r="B8" s="7" t="str">
        <f>+RIGHT(Tabla1[[#This Row],[N° Decreto
Expansión]],3)</f>
        <v>418</v>
      </c>
      <c r="C8" s="32" t="s">
        <v>306</v>
      </c>
      <c r="D8" s="7" t="s">
        <v>307</v>
      </c>
      <c r="E8" s="7" t="s">
        <v>17</v>
      </c>
      <c r="F8" s="7" t="s">
        <v>308</v>
      </c>
      <c r="G8" s="7" t="s">
        <v>309</v>
      </c>
      <c r="H8" s="7" t="s">
        <v>310</v>
      </c>
      <c r="I8" s="7" t="s">
        <v>311</v>
      </c>
      <c r="J8" s="7">
        <v>1</v>
      </c>
      <c r="K8" s="33" t="s">
        <v>312</v>
      </c>
      <c r="L8" s="7" t="s">
        <v>338</v>
      </c>
      <c r="M8" s="7" t="s">
        <v>338</v>
      </c>
      <c r="N8" s="7" t="s">
        <v>339</v>
      </c>
      <c r="O8" s="7" t="s">
        <v>336</v>
      </c>
      <c r="P8" s="7" t="s">
        <v>311</v>
      </c>
      <c r="Q8" s="34">
        <v>43287</v>
      </c>
      <c r="R8" s="35" t="s">
        <v>316</v>
      </c>
      <c r="S8" s="34">
        <v>43673</v>
      </c>
      <c r="T8" s="36">
        <v>4.556485526996501</v>
      </c>
      <c r="U8" s="33">
        <v>24</v>
      </c>
      <c r="V8" s="37">
        <v>5201354.6198857632</v>
      </c>
      <c r="W8" s="37">
        <f>Tabla1[[#This Row],[V.I. Adj]]/1000000</f>
        <v>5.2013546198857634</v>
      </c>
      <c r="X8" s="38" t="s">
        <v>317</v>
      </c>
      <c r="Y8" s="38" t="s">
        <v>317</v>
      </c>
      <c r="Z8" s="38" t="s">
        <v>317</v>
      </c>
      <c r="AA8" s="38" t="s">
        <v>317</v>
      </c>
      <c r="AB8" s="38" t="s">
        <v>317</v>
      </c>
      <c r="AC8" s="7" t="s">
        <v>27</v>
      </c>
      <c r="AD8" s="39" t="s">
        <v>317</v>
      </c>
      <c r="AE8" s="39" t="s">
        <v>317</v>
      </c>
      <c r="AF8" s="7" t="s">
        <v>1120</v>
      </c>
      <c r="AG8" s="40" t="s">
        <v>319</v>
      </c>
      <c r="AH8" s="41">
        <v>42936</v>
      </c>
      <c r="AI8" s="41">
        <v>42966</v>
      </c>
      <c r="AJ8" s="41">
        <v>43328</v>
      </c>
      <c r="AK8" s="42">
        <v>43312</v>
      </c>
      <c r="AM8" s="43" t="s">
        <v>340</v>
      </c>
    </row>
    <row r="9" spans="1:39" s="7" customFormat="1" x14ac:dyDescent="0.25">
      <c r="A9" s="7" t="str">
        <f>+MID(Tabla1[[#This Row],[N° Decreto
Expansión]],1,4)</f>
        <v>2017</v>
      </c>
      <c r="B9" s="7" t="str">
        <f>+RIGHT(Tabla1[[#This Row],[N° Decreto
Expansión]],3)</f>
        <v>418</v>
      </c>
      <c r="C9" s="32" t="s">
        <v>306</v>
      </c>
      <c r="D9" s="7" t="s">
        <v>307</v>
      </c>
      <c r="E9" s="7" t="s">
        <v>17</v>
      </c>
      <c r="F9" s="7" t="s">
        <v>308</v>
      </c>
      <c r="G9" s="7" t="s">
        <v>309</v>
      </c>
      <c r="H9" s="7" t="s">
        <v>310</v>
      </c>
      <c r="I9" s="7" t="s">
        <v>311</v>
      </c>
      <c r="J9" s="7">
        <v>1</v>
      </c>
      <c r="K9" s="33" t="s">
        <v>312</v>
      </c>
      <c r="L9" s="7" t="s">
        <v>338</v>
      </c>
      <c r="M9" s="7" t="s">
        <v>338</v>
      </c>
      <c r="N9" s="7" t="s">
        <v>341</v>
      </c>
      <c r="O9" s="7" t="s">
        <v>336</v>
      </c>
      <c r="P9" s="7" t="s">
        <v>311</v>
      </c>
      <c r="Q9" s="34">
        <v>43287</v>
      </c>
      <c r="R9" s="35" t="s">
        <v>316</v>
      </c>
      <c r="S9" s="34">
        <v>43673</v>
      </c>
      <c r="T9" s="36">
        <v>1.3782812533416524</v>
      </c>
      <c r="U9" s="33">
        <v>18</v>
      </c>
      <c r="V9" s="37">
        <v>1573346.2823695368</v>
      </c>
      <c r="W9" s="37">
        <f>Tabla1[[#This Row],[V.I. Adj]]/1000000</f>
        <v>1.5733462823695368</v>
      </c>
      <c r="X9" s="38" t="s">
        <v>317</v>
      </c>
      <c r="Y9" s="38" t="s">
        <v>317</v>
      </c>
      <c r="Z9" s="38" t="s">
        <v>317</v>
      </c>
      <c r="AA9" s="38" t="s">
        <v>317</v>
      </c>
      <c r="AB9" s="38" t="s">
        <v>317</v>
      </c>
      <c r="AC9" s="7" t="s">
        <v>27</v>
      </c>
      <c r="AD9" s="39" t="s">
        <v>317</v>
      </c>
      <c r="AE9" s="39" t="s">
        <v>317</v>
      </c>
      <c r="AF9" s="7" t="s">
        <v>1121</v>
      </c>
      <c r="AG9" s="40" t="s">
        <v>319</v>
      </c>
      <c r="AH9" s="41">
        <v>42936</v>
      </c>
      <c r="AI9" s="41">
        <v>42966</v>
      </c>
      <c r="AJ9" s="41">
        <v>43328</v>
      </c>
      <c r="AK9" s="42">
        <v>43312</v>
      </c>
      <c r="AM9" s="43" t="s">
        <v>342</v>
      </c>
    </row>
    <row r="10" spans="1:39" s="7" customFormat="1" x14ac:dyDescent="0.25">
      <c r="A10" s="7" t="str">
        <f>+MID(Tabla1[[#This Row],[N° Decreto
Expansión]],1,4)</f>
        <v>2017</v>
      </c>
      <c r="B10" s="7" t="str">
        <f>+RIGHT(Tabla1[[#This Row],[N° Decreto
Expansión]],3)</f>
        <v>418</v>
      </c>
      <c r="C10" s="32" t="s">
        <v>306</v>
      </c>
      <c r="D10" s="7" t="s">
        <v>307</v>
      </c>
      <c r="E10" s="7" t="s">
        <v>17</v>
      </c>
      <c r="F10" s="7" t="s">
        <v>308</v>
      </c>
      <c r="G10" s="7" t="s">
        <v>309</v>
      </c>
      <c r="H10" s="7" t="s">
        <v>310</v>
      </c>
      <c r="I10" s="7" t="s">
        <v>311</v>
      </c>
      <c r="J10" s="7">
        <v>1</v>
      </c>
      <c r="K10" s="33" t="s">
        <v>33</v>
      </c>
      <c r="L10" s="7" t="s">
        <v>338</v>
      </c>
      <c r="M10" s="7" t="s">
        <v>338</v>
      </c>
      <c r="N10" s="7" t="s">
        <v>343</v>
      </c>
      <c r="O10" s="7" t="s">
        <v>336</v>
      </c>
      <c r="P10" s="7" t="s">
        <v>311</v>
      </c>
      <c r="Q10" s="34">
        <v>43287</v>
      </c>
      <c r="R10" s="35" t="s">
        <v>316</v>
      </c>
      <c r="S10" s="34">
        <v>43673</v>
      </c>
      <c r="T10" s="36">
        <v>1.7183491106227213</v>
      </c>
      <c r="U10" s="33">
        <v>24</v>
      </c>
      <c r="V10" s="37">
        <v>1961543.1744837731</v>
      </c>
      <c r="W10" s="37">
        <f>Tabla1[[#This Row],[V.I. Adj]]/1000000</f>
        <v>1.961543174483773</v>
      </c>
      <c r="X10" s="38" t="s">
        <v>317</v>
      </c>
      <c r="Y10" s="38" t="s">
        <v>317</v>
      </c>
      <c r="Z10" s="38" t="s">
        <v>317</v>
      </c>
      <c r="AA10" s="38" t="s">
        <v>317</v>
      </c>
      <c r="AB10" s="38" t="s">
        <v>317</v>
      </c>
      <c r="AC10" s="7" t="s">
        <v>34</v>
      </c>
      <c r="AD10" s="39" t="s">
        <v>317</v>
      </c>
      <c r="AE10" s="39" t="s">
        <v>317</v>
      </c>
      <c r="AF10" s="7" t="s">
        <v>1122</v>
      </c>
      <c r="AG10" s="40" t="s">
        <v>319</v>
      </c>
      <c r="AH10" s="41">
        <v>42936</v>
      </c>
      <c r="AI10" s="41">
        <v>42966</v>
      </c>
      <c r="AJ10" s="41">
        <v>43287</v>
      </c>
      <c r="AK10" s="42">
        <v>43312</v>
      </c>
      <c r="AM10" s="43" t="s">
        <v>344</v>
      </c>
    </row>
    <row r="11" spans="1:39" s="7" customFormat="1" x14ac:dyDescent="0.25">
      <c r="A11" s="7" t="str">
        <f>+MID(Tabla1[[#This Row],[N° Decreto
Expansión]],1,4)</f>
        <v>2017</v>
      </c>
      <c r="B11" s="7" t="str">
        <f>+RIGHT(Tabla1[[#This Row],[N° Decreto
Expansión]],3)</f>
        <v>418</v>
      </c>
      <c r="C11" s="32" t="s">
        <v>306</v>
      </c>
      <c r="D11" s="7" t="s">
        <v>307</v>
      </c>
      <c r="E11" s="7" t="s">
        <v>17</v>
      </c>
      <c r="F11" s="7" t="s">
        <v>308</v>
      </c>
      <c r="G11" s="7" t="s">
        <v>309</v>
      </c>
      <c r="H11" s="7" t="s">
        <v>310</v>
      </c>
      <c r="I11" s="7" t="s">
        <v>311</v>
      </c>
      <c r="J11" s="7">
        <v>1</v>
      </c>
      <c r="K11" s="33" t="s">
        <v>312</v>
      </c>
      <c r="L11" s="7" t="s">
        <v>345</v>
      </c>
      <c r="M11" s="7" t="s">
        <v>345</v>
      </c>
      <c r="N11" s="7" t="s">
        <v>16</v>
      </c>
      <c r="O11" s="7" t="s">
        <v>336</v>
      </c>
      <c r="P11" s="7" t="s">
        <v>311</v>
      </c>
      <c r="Q11" s="34">
        <v>43287</v>
      </c>
      <c r="R11" s="35" t="s">
        <v>316</v>
      </c>
      <c r="S11" s="34">
        <v>43673</v>
      </c>
      <c r="T11" s="36">
        <v>6.4178538299336898</v>
      </c>
      <c r="U11" s="33">
        <v>24</v>
      </c>
      <c r="V11" s="37">
        <v>6919239.222859079</v>
      </c>
      <c r="W11" s="37">
        <f>Tabla1[[#This Row],[V.I. Adj]]/1000000</f>
        <v>6.9192392228590789</v>
      </c>
      <c r="X11" s="38" t="s">
        <v>317</v>
      </c>
      <c r="Y11" s="38" t="s">
        <v>317</v>
      </c>
      <c r="Z11" s="38" t="s">
        <v>317</v>
      </c>
      <c r="AA11" s="38" t="s">
        <v>317</v>
      </c>
      <c r="AB11" s="38" t="s">
        <v>317</v>
      </c>
      <c r="AC11" s="7" t="s">
        <v>58</v>
      </c>
      <c r="AD11" s="39" t="s">
        <v>317</v>
      </c>
      <c r="AE11" s="39" t="s">
        <v>317</v>
      </c>
      <c r="AF11" s="7" t="s">
        <v>1123</v>
      </c>
      <c r="AG11" s="40" t="s">
        <v>319</v>
      </c>
      <c r="AH11" s="41">
        <v>42936</v>
      </c>
      <c r="AI11" s="41">
        <v>42966</v>
      </c>
      <c r="AJ11" s="41">
        <v>43333</v>
      </c>
      <c r="AK11" s="42">
        <v>43312</v>
      </c>
      <c r="AM11" s="43" t="s">
        <v>346</v>
      </c>
    </row>
    <row r="12" spans="1:39" s="7" customFormat="1" x14ac:dyDescent="0.25">
      <c r="A12" s="7" t="str">
        <f>+MID(Tabla1[[#This Row],[N° Decreto
Expansión]],1,4)</f>
        <v>2017</v>
      </c>
      <c r="B12" s="7" t="str">
        <f>+RIGHT(Tabla1[[#This Row],[N° Decreto
Expansión]],3)</f>
        <v>418</v>
      </c>
      <c r="C12" s="32" t="s">
        <v>306</v>
      </c>
      <c r="D12" s="7" t="s">
        <v>307</v>
      </c>
      <c r="E12" s="7" t="s">
        <v>17</v>
      </c>
      <c r="F12" s="7" t="s">
        <v>308</v>
      </c>
      <c r="G12" s="7" t="s">
        <v>309</v>
      </c>
      <c r="H12" s="7" t="s">
        <v>310</v>
      </c>
      <c r="I12" s="7" t="s">
        <v>311</v>
      </c>
      <c r="J12" s="7">
        <v>1</v>
      </c>
      <c r="K12" s="33" t="s">
        <v>312</v>
      </c>
      <c r="L12" s="7" t="s">
        <v>345</v>
      </c>
      <c r="M12" s="7" t="s">
        <v>345</v>
      </c>
      <c r="N12" s="7" t="s">
        <v>347</v>
      </c>
      <c r="O12" s="7" t="s">
        <v>336</v>
      </c>
      <c r="P12" s="7" t="s">
        <v>311</v>
      </c>
      <c r="Q12" s="34">
        <v>43287</v>
      </c>
      <c r="R12" s="35" t="s">
        <v>316</v>
      </c>
      <c r="S12" s="34">
        <v>43673</v>
      </c>
      <c r="T12" s="36">
        <v>10.292084839518951</v>
      </c>
      <c r="U12" s="33">
        <v>24</v>
      </c>
      <c r="V12" s="37">
        <v>11096138.832960706</v>
      </c>
      <c r="W12" s="37">
        <f>Tabla1[[#This Row],[V.I. Adj]]/1000000</f>
        <v>11.096138832960706</v>
      </c>
      <c r="X12" s="38" t="s">
        <v>317</v>
      </c>
      <c r="Y12" s="38" t="s">
        <v>317</v>
      </c>
      <c r="Z12" s="38" t="s">
        <v>317</v>
      </c>
      <c r="AA12" s="38" t="s">
        <v>317</v>
      </c>
      <c r="AB12" s="38" t="s">
        <v>317</v>
      </c>
      <c r="AC12" s="7" t="s">
        <v>58</v>
      </c>
      <c r="AD12" s="39" t="s">
        <v>317</v>
      </c>
      <c r="AE12" s="39" t="s">
        <v>317</v>
      </c>
      <c r="AF12" s="7" t="s">
        <v>1124</v>
      </c>
      <c r="AG12" s="40" t="s">
        <v>319</v>
      </c>
      <c r="AH12" s="41">
        <v>42936</v>
      </c>
      <c r="AI12" s="41">
        <v>42966</v>
      </c>
      <c r="AJ12" s="41">
        <v>43333</v>
      </c>
      <c r="AK12" s="42">
        <v>43312</v>
      </c>
      <c r="AM12" s="43" t="s">
        <v>348</v>
      </c>
    </row>
    <row r="13" spans="1:39" s="7" customFormat="1" x14ac:dyDescent="0.25">
      <c r="A13" s="7" t="str">
        <f>+MID(Tabla1[[#This Row],[N° Decreto
Expansión]],1,4)</f>
        <v>2017</v>
      </c>
      <c r="B13" s="7" t="str">
        <f>+RIGHT(Tabla1[[#This Row],[N° Decreto
Expansión]],3)</f>
        <v>418</v>
      </c>
      <c r="C13" s="32" t="s">
        <v>306</v>
      </c>
      <c r="D13" s="7" t="s">
        <v>307</v>
      </c>
      <c r="E13" s="7" t="s">
        <v>17</v>
      </c>
      <c r="F13" s="7" t="s">
        <v>308</v>
      </c>
      <c r="G13" s="7" t="s">
        <v>309</v>
      </c>
      <c r="H13" s="7" t="s">
        <v>310</v>
      </c>
      <c r="I13" s="7" t="s">
        <v>311</v>
      </c>
      <c r="J13" s="7">
        <v>1</v>
      </c>
      <c r="K13" s="33" t="s">
        <v>312</v>
      </c>
      <c r="L13" s="7" t="s">
        <v>345</v>
      </c>
      <c r="M13" s="7" t="s">
        <v>345</v>
      </c>
      <c r="N13" s="7" t="s">
        <v>349</v>
      </c>
      <c r="O13" s="7" t="s">
        <v>336</v>
      </c>
      <c r="P13" s="7" t="s">
        <v>311</v>
      </c>
      <c r="Q13" s="34">
        <v>43287</v>
      </c>
      <c r="R13" s="35" t="s">
        <v>316</v>
      </c>
      <c r="S13" s="34">
        <v>43673</v>
      </c>
      <c r="T13" s="36">
        <v>2.1378720747451614</v>
      </c>
      <c r="U13" s="33">
        <v>18</v>
      </c>
      <c r="V13" s="37">
        <v>2304890.1868157182</v>
      </c>
      <c r="W13" s="37">
        <f>Tabla1[[#This Row],[V.I. Adj]]/1000000</f>
        <v>2.3048901868157183</v>
      </c>
      <c r="X13" s="38" t="s">
        <v>317</v>
      </c>
      <c r="Y13" s="38" t="s">
        <v>317</v>
      </c>
      <c r="Z13" s="38" t="s">
        <v>317</v>
      </c>
      <c r="AA13" s="38" t="s">
        <v>317</v>
      </c>
      <c r="AB13" s="38" t="s">
        <v>317</v>
      </c>
      <c r="AC13" s="7" t="s">
        <v>58</v>
      </c>
      <c r="AD13" s="39" t="s">
        <v>317</v>
      </c>
      <c r="AE13" s="39" t="s">
        <v>317</v>
      </c>
      <c r="AF13" s="7" t="s">
        <v>1125</v>
      </c>
      <c r="AG13" s="40" t="s">
        <v>319</v>
      </c>
      <c r="AH13" s="41">
        <v>42936</v>
      </c>
      <c r="AI13" s="41">
        <v>42966</v>
      </c>
      <c r="AJ13" s="41">
        <v>43333</v>
      </c>
      <c r="AK13" s="42">
        <v>43312</v>
      </c>
      <c r="AM13" s="43" t="s">
        <v>350</v>
      </c>
    </row>
    <row r="14" spans="1:39" s="7" customFormat="1" x14ac:dyDescent="0.25">
      <c r="A14" s="7" t="str">
        <f>+MID(Tabla1[[#This Row],[N° Decreto
Expansión]],1,4)</f>
        <v>2017</v>
      </c>
      <c r="B14" s="7" t="str">
        <f>+RIGHT(Tabla1[[#This Row],[N° Decreto
Expansión]],3)</f>
        <v>418</v>
      </c>
      <c r="C14" s="32" t="s">
        <v>306</v>
      </c>
      <c r="D14" s="7" t="s">
        <v>307</v>
      </c>
      <c r="E14" s="7" t="s">
        <v>17</v>
      </c>
      <c r="F14" s="7" t="s">
        <v>308</v>
      </c>
      <c r="G14" s="7" t="s">
        <v>309</v>
      </c>
      <c r="H14" s="7" t="s">
        <v>310</v>
      </c>
      <c r="I14" s="7" t="s">
        <v>311</v>
      </c>
      <c r="J14" s="7">
        <v>1</v>
      </c>
      <c r="K14" s="33" t="s">
        <v>312</v>
      </c>
      <c r="L14" s="7" t="s">
        <v>345</v>
      </c>
      <c r="M14" s="7" t="s">
        <v>345</v>
      </c>
      <c r="N14" s="7" t="s">
        <v>351</v>
      </c>
      <c r="O14" s="7" t="s">
        <v>336</v>
      </c>
      <c r="P14" s="7" t="s">
        <v>311</v>
      </c>
      <c r="Q14" s="34">
        <v>43287</v>
      </c>
      <c r="R14" s="35" t="s">
        <v>316</v>
      </c>
      <c r="S14" s="34">
        <v>43673</v>
      </c>
      <c r="T14" s="36">
        <v>1.9387046069294573</v>
      </c>
      <c r="U14" s="33">
        <v>18</v>
      </c>
      <c r="V14" s="37">
        <v>2090163.0534552843</v>
      </c>
      <c r="W14" s="37">
        <f>Tabla1[[#This Row],[V.I. Adj]]/1000000</f>
        <v>2.0901630534552842</v>
      </c>
      <c r="X14" s="38" t="s">
        <v>317</v>
      </c>
      <c r="Y14" s="38" t="s">
        <v>317</v>
      </c>
      <c r="Z14" s="38" t="s">
        <v>317</v>
      </c>
      <c r="AA14" s="38" t="s">
        <v>317</v>
      </c>
      <c r="AB14" s="38" t="s">
        <v>317</v>
      </c>
      <c r="AC14" s="7" t="s">
        <v>58</v>
      </c>
      <c r="AD14" s="39" t="s">
        <v>317</v>
      </c>
      <c r="AE14" s="39" t="s">
        <v>317</v>
      </c>
      <c r="AF14" s="7" t="s">
        <v>1126</v>
      </c>
      <c r="AG14" s="40" t="s">
        <v>319</v>
      </c>
      <c r="AH14" s="41">
        <v>42936</v>
      </c>
      <c r="AI14" s="41">
        <v>42966</v>
      </c>
      <c r="AJ14" s="41">
        <v>43333</v>
      </c>
      <c r="AK14" s="42">
        <v>43312</v>
      </c>
      <c r="AM14" s="43" t="s">
        <v>352</v>
      </c>
    </row>
    <row r="15" spans="1:39" s="7" customFormat="1" x14ac:dyDescent="0.25">
      <c r="A15" s="7" t="str">
        <f>+MID(Tabla1[[#This Row],[N° Decreto
Expansión]],1,4)</f>
        <v>2017</v>
      </c>
      <c r="B15" s="7" t="str">
        <f>+RIGHT(Tabla1[[#This Row],[N° Decreto
Expansión]],3)</f>
        <v>418</v>
      </c>
      <c r="C15" s="32" t="s">
        <v>306</v>
      </c>
      <c r="D15" s="7" t="s">
        <v>307</v>
      </c>
      <c r="E15" s="7" t="s">
        <v>17</v>
      </c>
      <c r="F15" s="7" t="s">
        <v>308</v>
      </c>
      <c r="G15" s="7" t="s">
        <v>309</v>
      </c>
      <c r="H15" s="7" t="s">
        <v>310</v>
      </c>
      <c r="I15" s="7" t="s">
        <v>311</v>
      </c>
      <c r="J15" s="7">
        <v>1</v>
      </c>
      <c r="K15" s="33" t="s">
        <v>312</v>
      </c>
      <c r="L15" s="7" t="s">
        <v>345</v>
      </c>
      <c r="M15" s="7" t="s">
        <v>345</v>
      </c>
      <c r="N15" s="7" t="s">
        <v>353</v>
      </c>
      <c r="O15" s="7" t="s">
        <v>336</v>
      </c>
      <c r="P15" s="7" t="s">
        <v>311</v>
      </c>
      <c r="Q15" s="34">
        <v>43287</v>
      </c>
      <c r="R15" s="35" t="s">
        <v>316</v>
      </c>
      <c r="S15" s="34">
        <v>43673</v>
      </c>
      <c r="T15" s="36">
        <v>2.6686321884455211</v>
      </c>
      <c r="U15" s="33">
        <v>18</v>
      </c>
      <c r="V15" s="37">
        <v>2877115.1539092143</v>
      </c>
      <c r="W15" s="37">
        <f>Tabla1[[#This Row],[V.I. Adj]]/1000000</f>
        <v>2.8771151539092141</v>
      </c>
      <c r="X15" s="38" t="s">
        <v>317</v>
      </c>
      <c r="Y15" s="38" t="s">
        <v>317</v>
      </c>
      <c r="Z15" s="38" t="s">
        <v>317</v>
      </c>
      <c r="AA15" s="38" t="s">
        <v>317</v>
      </c>
      <c r="AB15" s="38" t="s">
        <v>317</v>
      </c>
      <c r="AC15" s="7" t="s">
        <v>58</v>
      </c>
      <c r="AD15" s="39" t="s">
        <v>317</v>
      </c>
      <c r="AE15" s="39" t="s">
        <v>317</v>
      </c>
      <c r="AF15" s="7" t="s">
        <v>1127</v>
      </c>
      <c r="AG15" s="40" t="s">
        <v>319</v>
      </c>
      <c r="AH15" s="41">
        <v>42936</v>
      </c>
      <c r="AI15" s="41">
        <v>42966</v>
      </c>
      <c r="AJ15" s="41">
        <v>43333</v>
      </c>
      <c r="AK15" s="42">
        <v>43312</v>
      </c>
      <c r="AM15" s="43" t="s">
        <v>354</v>
      </c>
    </row>
    <row r="16" spans="1:39" s="7" customFormat="1" x14ac:dyDescent="0.25">
      <c r="A16" s="7" t="str">
        <f>+MID(Tabla1[[#This Row],[N° Decreto
Expansión]],1,4)</f>
        <v>2017</v>
      </c>
      <c r="B16" s="7" t="str">
        <f>+RIGHT(Tabla1[[#This Row],[N° Decreto
Expansión]],3)</f>
        <v>418</v>
      </c>
      <c r="C16" s="32" t="s">
        <v>306</v>
      </c>
      <c r="D16" s="7" t="s">
        <v>307</v>
      </c>
      <c r="E16" s="7" t="s">
        <v>17</v>
      </c>
      <c r="F16" s="7" t="s">
        <v>308</v>
      </c>
      <c r="G16" s="7" t="s">
        <v>309</v>
      </c>
      <c r="H16" s="7" t="s">
        <v>310</v>
      </c>
      <c r="I16" s="7" t="s">
        <v>311</v>
      </c>
      <c r="J16" s="7">
        <v>1</v>
      </c>
      <c r="K16" s="33" t="s">
        <v>312</v>
      </c>
      <c r="L16" s="7" t="s">
        <v>355</v>
      </c>
      <c r="M16" s="7" t="s">
        <v>355</v>
      </c>
      <c r="N16" s="7" t="s">
        <v>356</v>
      </c>
      <c r="O16" s="7" t="s">
        <v>332</v>
      </c>
      <c r="P16" s="7" t="s">
        <v>311</v>
      </c>
      <c r="Q16" s="34">
        <v>43287</v>
      </c>
      <c r="R16" s="35" t="s">
        <v>316</v>
      </c>
      <c r="S16" s="34">
        <v>43673</v>
      </c>
      <c r="T16" s="36">
        <v>10.706310796518633</v>
      </c>
      <c r="U16" s="33">
        <v>36</v>
      </c>
      <c r="V16" s="37">
        <v>12193505</v>
      </c>
      <c r="W16" s="37">
        <f>Tabla1[[#This Row],[V.I. Adj]]/1000000</f>
        <v>12.193505</v>
      </c>
      <c r="X16" s="38" t="s">
        <v>317</v>
      </c>
      <c r="Y16" s="38" t="s">
        <v>317</v>
      </c>
      <c r="Z16" s="38" t="s">
        <v>317</v>
      </c>
      <c r="AA16" s="38" t="s">
        <v>317</v>
      </c>
      <c r="AB16" s="38" t="s">
        <v>317</v>
      </c>
      <c r="AC16" s="7" t="s">
        <v>58</v>
      </c>
      <c r="AD16" s="39" t="s">
        <v>317</v>
      </c>
      <c r="AE16" s="39" t="s">
        <v>317</v>
      </c>
      <c r="AF16" s="7" t="s">
        <v>1128</v>
      </c>
      <c r="AG16" s="40" t="s">
        <v>319</v>
      </c>
      <c r="AH16" s="41">
        <v>42936</v>
      </c>
      <c r="AI16" s="41">
        <v>42966</v>
      </c>
      <c r="AJ16" s="41">
        <v>43333</v>
      </c>
      <c r="AK16" s="42">
        <v>43312</v>
      </c>
      <c r="AM16" s="43" t="s">
        <v>357</v>
      </c>
    </row>
    <row r="17" spans="1:39" s="7" customFormat="1" x14ac:dyDescent="0.25">
      <c r="A17" s="7" t="str">
        <f>+MID(Tabla1[[#This Row],[N° Decreto
Expansión]],1,4)</f>
        <v>2017</v>
      </c>
      <c r="B17" s="7" t="str">
        <f>+RIGHT(Tabla1[[#This Row],[N° Decreto
Expansión]],3)</f>
        <v>418</v>
      </c>
      <c r="C17" s="32" t="s">
        <v>306</v>
      </c>
      <c r="D17" s="7" t="s">
        <v>307</v>
      </c>
      <c r="E17" s="7" t="s">
        <v>17</v>
      </c>
      <c r="F17" s="7" t="s">
        <v>308</v>
      </c>
      <c r="G17" s="45" t="s">
        <v>309</v>
      </c>
      <c r="H17" s="7" t="s">
        <v>358</v>
      </c>
      <c r="I17" s="7" t="s">
        <v>359</v>
      </c>
      <c r="J17" s="7">
        <v>1</v>
      </c>
      <c r="K17" s="33" t="s">
        <v>33</v>
      </c>
      <c r="L17" s="7" t="s">
        <v>355</v>
      </c>
      <c r="M17" s="7" t="s">
        <v>355</v>
      </c>
      <c r="N17" s="7" t="s">
        <v>360</v>
      </c>
      <c r="O17" s="7" t="s">
        <v>361</v>
      </c>
      <c r="P17" s="7" t="s">
        <v>319</v>
      </c>
      <c r="Q17" s="33" t="s">
        <v>317</v>
      </c>
      <c r="R17" s="33" t="s">
        <v>317</v>
      </c>
      <c r="S17" s="33" t="s">
        <v>317</v>
      </c>
      <c r="T17" s="36">
        <v>3.6199746676928721</v>
      </c>
      <c r="U17" s="33">
        <v>24</v>
      </c>
      <c r="V17" s="46" t="s">
        <v>319</v>
      </c>
      <c r="W17" s="47" t="s">
        <v>319</v>
      </c>
      <c r="X17" s="48" t="s">
        <v>317</v>
      </c>
      <c r="Y17" s="48" t="s">
        <v>317</v>
      </c>
      <c r="Z17" s="48" t="s">
        <v>317</v>
      </c>
      <c r="AA17" s="48" t="s">
        <v>317</v>
      </c>
      <c r="AB17" s="48" t="s">
        <v>317</v>
      </c>
      <c r="AC17" s="7" t="s">
        <v>27</v>
      </c>
      <c r="AD17" s="39" t="s">
        <v>317</v>
      </c>
      <c r="AE17" s="39" t="s">
        <v>317</v>
      </c>
      <c r="AF17" s="7" t="s">
        <v>1129</v>
      </c>
      <c r="AG17" s="40" t="s">
        <v>319</v>
      </c>
      <c r="AH17" s="41">
        <v>42936</v>
      </c>
      <c r="AI17" s="41">
        <v>42966</v>
      </c>
      <c r="AJ17" s="49" t="s">
        <v>317</v>
      </c>
      <c r="AK17" s="49" t="s">
        <v>317</v>
      </c>
      <c r="AM17" s="43" t="s">
        <v>362</v>
      </c>
    </row>
    <row r="18" spans="1:39" s="7" customFormat="1" x14ac:dyDescent="0.25">
      <c r="A18" s="7" t="str">
        <f>+MID(Tabla1[[#This Row],[N° Decreto
Expansión]],1,4)</f>
        <v>2017</v>
      </c>
      <c r="B18" s="7" t="str">
        <f>+RIGHT(Tabla1[[#This Row],[N° Decreto
Expansión]],3)</f>
        <v>418</v>
      </c>
      <c r="C18" s="32" t="s">
        <v>306</v>
      </c>
      <c r="D18" s="7" t="s">
        <v>307</v>
      </c>
      <c r="E18" s="7" t="s">
        <v>17</v>
      </c>
      <c r="F18" s="7" t="s">
        <v>308</v>
      </c>
      <c r="G18" s="45" t="s">
        <v>309</v>
      </c>
      <c r="H18" s="7" t="s">
        <v>310</v>
      </c>
      <c r="I18" s="7" t="s">
        <v>363</v>
      </c>
      <c r="J18" s="7">
        <v>3</v>
      </c>
      <c r="K18" s="33" t="s">
        <v>312</v>
      </c>
      <c r="L18" s="7" t="s">
        <v>345</v>
      </c>
      <c r="M18" s="7" t="s">
        <v>345</v>
      </c>
      <c r="N18" s="7" t="s">
        <v>364</v>
      </c>
      <c r="O18" s="7" t="s">
        <v>195</v>
      </c>
      <c r="P18" s="7" t="s">
        <v>363</v>
      </c>
      <c r="Q18" s="34">
        <v>44005</v>
      </c>
      <c r="R18" s="33" t="s">
        <v>317</v>
      </c>
      <c r="S18" s="33" t="s">
        <v>317</v>
      </c>
      <c r="T18" s="36">
        <v>0.97676811343659009</v>
      </c>
      <c r="U18" s="33">
        <v>18</v>
      </c>
      <c r="V18" s="37">
        <v>1513943.25</v>
      </c>
      <c r="W18" s="37">
        <f>Tabla1[[#This Row],[V.I. Adj]]/1000000</f>
        <v>1.5139432500000001</v>
      </c>
      <c r="X18" s="48" t="s">
        <v>317</v>
      </c>
      <c r="Y18" s="48" t="s">
        <v>317</v>
      </c>
      <c r="Z18" s="48" t="s">
        <v>317</v>
      </c>
      <c r="AA18" s="48" t="s">
        <v>317</v>
      </c>
      <c r="AB18" s="48" t="s">
        <v>317</v>
      </c>
      <c r="AC18" s="7" t="s">
        <v>58</v>
      </c>
      <c r="AD18" s="39" t="s">
        <v>317</v>
      </c>
      <c r="AE18" s="39" t="s">
        <v>317</v>
      </c>
      <c r="AF18" s="7" t="s">
        <v>1130</v>
      </c>
      <c r="AG18" s="50">
        <v>293</v>
      </c>
      <c r="AH18" s="41">
        <v>42936</v>
      </c>
      <c r="AI18" s="41">
        <v>42966</v>
      </c>
      <c r="AJ18" s="49" t="s">
        <v>317</v>
      </c>
      <c r="AK18" s="49" t="s">
        <v>317</v>
      </c>
      <c r="AM18" s="43" t="s">
        <v>365</v>
      </c>
    </row>
    <row r="19" spans="1:39" s="7" customFormat="1" x14ac:dyDescent="0.25">
      <c r="A19" s="7" t="str">
        <f>+MID(Tabla1[[#This Row],[N° Decreto
Expansión]],1,4)</f>
        <v>2017</v>
      </c>
      <c r="B19" s="7" t="str">
        <f>+RIGHT(Tabla1[[#This Row],[N° Decreto
Expansión]],3)</f>
        <v>418</v>
      </c>
      <c r="C19" s="32" t="s">
        <v>306</v>
      </c>
      <c r="D19" s="7" t="s">
        <v>307</v>
      </c>
      <c r="E19" s="7" t="s">
        <v>17</v>
      </c>
      <c r="F19" s="7" t="s">
        <v>308</v>
      </c>
      <c r="G19" s="45" t="s">
        <v>309</v>
      </c>
      <c r="H19" s="7" t="s">
        <v>310</v>
      </c>
      <c r="I19" s="7" t="s">
        <v>363</v>
      </c>
      <c r="J19" s="7">
        <v>3</v>
      </c>
      <c r="K19" s="33" t="s">
        <v>312</v>
      </c>
      <c r="L19" s="7" t="s">
        <v>345</v>
      </c>
      <c r="M19" s="7" t="s">
        <v>345</v>
      </c>
      <c r="N19" s="7" t="s">
        <v>366</v>
      </c>
      <c r="O19" s="7" t="s">
        <v>195</v>
      </c>
      <c r="P19" s="7" t="s">
        <v>363</v>
      </c>
      <c r="Q19" s="34">
        <v>44005</v>
      </c>
      <c r="R19" s="33" t="s">
        <v>317</v>
      </c>
      <c r="S19" s="33" t="s">
        <v>317</v>
      </c>
      <c r="T19" s="36">
        <v>0.27014736326066213</v>
      </c>
      <c r="U19" s="33">
        <v>18</v>
      </c>
      <c r="V19" s="37">
        <v>418715.32</v>
      </c>
      <c r="W19" s="37">
        <f>Tabla1[[#This Row],[V.I. Adj]]/1000000</f>
        <v>0.41871532</v>
      </c>
      <c r="X19" s="48" t="s">
        <v>317</v>
      </c>
      <c r="Y19" s="48" t="s">
        <v>317</v>
      </c>
      <c r="Z19" s="48" t="s">
        <v>317</v>
      </c>
      <c r="AA19" s="48" t="s">
        <v>317</v>
      </c>
      <c r="AB19" s="48" t="s">
        <v>317</v>
      </c>
      <c r="AC19" s="7" t="s">
        <v>58</v>
      </c>
      <c r="AD19" s="39" t="s">
        <v>317</v>
      </c>
      <c r="AE19" s="39" t="s">
        <v>317</v>
      </c>
      <c r="AF19" s="7" t="s">
        <v>1131</v>
      </c>
      <c r="AG19" s="50">
        <v>418</v>
      </c>
      <c r="AH19" s="41">
        <v>42936</v>
      </c>
      <c r="AI19" s="41">
        <v>42966</v>
      </c>
      <c r="AJ19" s="49" t="s">
        <v>317</v>
      </c>
      <c r="AK19" s="49" t="s">
        <v>317</v>
      </c>
      <c r="AM19" s="43" t="s">
        <v>367</v>
      </c>
    </row>
    <row r="20" spans="1:39" s="7" customFormat="1" x14ac:dyDescent="0.25">
      <c r="A20" s="7" t="str">
        <f>+MID(Tabla1[[#This Row],[N° Decreto
Expansión]],1,4)</f>
        <v>2017</v>
      </c>
      <c r="B20" s="7" t="str">
        <f>+RIGHT(Tabla1[[#This Row],[N° Decreto
Expansión]],3)</f>
        <v>418</v>
      </c>
      <c r="C20" s="32" t="s">
        <v>306</v>
      </c>
      <c r="D20" s="7" t="s">
        <v>307</v>
      </c>
      <c r="E20" s="7" t="s">
        <v>17</v>
      </c>
      <c r="F20" s="7" t="s">
        <v>308</v>
      </c>
      <c r="G20" s="45" t="s">
        <v>309</v>
      </c>
      <c r="H20" s="7" t="s">
        <v>310</v>
      </c>
      <c r="I20" s="7" t="s">
        <v>363</v>
      </c>
      <c r="J20" s="7">
        <v>3</v>
      </c>
      <c r="K20" s="33" t="s">
        <v>312</v>
      </c>
      <c r="L20" s="7" t="s">
        <v>345</v>
      </c>
      <c r="M20" s="7" t="s">
        <v>345</v>
      </c>
      <c r="N20" s="7" t="s">
        <v>368</v>
      </c>
      <c r="O20" s="7" t="s">
        <v>195</v>
      </c>
      <c r="P20" s="7" t="s">
        <v>363</v>
      </c>
      <c r="Q20" s="34">
        <v>44005</v>
      </c>
      <c r="R20" s="33" t="s">
        <v>317</v>
      </c>
      <c r="S20" s="33" t="s">
        <v>317</v>
      </c>
      <c r="T20" s="36">
        <v>2.0075656995253124</v>
      </c>
      <c r="U20" s="33">
        <v>18</v>
      </c>
      <c r="V20" s="37">
        <v>3111629.57</v>
      </c>
      <c r="W20" s="37">
        <f>Tabla1[[#This Row],[V.I. Adj]]/1000000</f>
        <v>3.1116295699999998</v>
      </c>
      <c r="X20" s="48" t="s">
        <v>317</v>
      </c>
      <c r="Y20" s="48" t="s">
        <v>317</v>
      </c>
      <c r="Z20" s="48" t="s">
        <v>317</v>
      </c>
      <c r="AA20" s="48" t="s">
        <v>317</v>
      </c>
      <c r="AB20" s="48" t="s">
        <v>317</v>
      </c>
      <c r="AC20" s="7" t="s">
        <v>58</v>
      </c>
      <c r="AD20" s="39" t="s">
        <v>317</v>
      </c>
      <c r="AE20" s="39" t="s">
        <v>317</v>
      </c>
      <c r="AF20" s="7" t="s">
        <v>1132</v>
      </c>
      <c r="AG20" s="50">
        <v>418</v>
      </c>
      <c r="AH20" s="41">
        <v>42936</v>
      </c>
      <c r="AI20" s="41">
        <v>42966</v>
      </c>
      <c r="AJ20" s="49" t="s">
        <v>317</v>
      </c>
      <c r="AK20" s="49" t="s">
        <v>317</v>
      </c>
      <c r="AM20" s="43" t="s">
        <v>369</v>
      </c>
    </row>
    <row r="21" spans="1:39" s="7" customFormat="1" x14ac:dyDescent="0.25">
      <c r="A21" s="7" t="str">
        <f>+MID(Tabla1[[#This Row],[N° Decreto
Expansión]],1,4)</f>
        <v>2017</v>
      </c>
      <c r="B21" s="7" t="str">
        <f>+RIGHT(Tabla1[[#This Row],[N° Decreto
Expansión]],3)</f>
        <v>418</v>
      </c>
      <c r="C21" s="32" t="s">
        <v>306</v>
      </c>
      <c r="D21" s="7" t="s">
        <v>307</v>
      </c>
      <c r="E21" s="7" t="s">
        <v>17</v>
      </c>
      <c r="F21" s="7" t="s">
        <v>308</v>
      </c>
      <c r="G21" s="7" t="s">
        <v>309</v>
      </c>
      <c r="H21" s="7" t="s">
        <v>310</v>
      </c>
      <c r="I21" s="7" t="s">
        <v>311</v>
      </c>
      <c r="J21" s="7">
        <v>1</v>
      </c>
      <c r="K21" s="33" t="s">
        <v>312</v>
      </c>
      <c r="L21" s="7" t="s">
        <v>355</v>
      </c>
      <c r="M21" s="7" t="s">
        <v>355</v>
      </c>
      <c r="N21" s="7" t="s">
        <v>370</v>
      </c>
      <c r="O21" s="7" t="s">
        <v>315</v>
      </c>
      <c r="P21" s="7" t="s">
        <v>311</v>
      </c>
      <c r="Q21" s="34">
        <v>43287</v>
      </c>
      <c r="R21" s="35" t="s">
        <v>316</v>
      </c>
      <c r="S21" s="34">
        <v>43673</v>
      </c>
      <c r="T21" s="36">
        <v>2.8561462405911571</v>
      </c>
      <c r="U21" s="33">
        <v>18</v>
      </c>
      <c r="V21" s="37">
        <v>5674493.8972842162</v>
      </c>
      <c r="W21" s="37">
        <f>Tabla1[[#This Row],[V.I. Adj]]/1000000</f>
        <v>5.6744938972842158</v>
      </c>
      <c r="X21" s="38" t="s">
        <v>317</v>
      </c>
      <c r="Y21" s="38" t="s">
        <v>317</v>
      </c>
      <c r="Z21" s="38" t="s">
        <v>317</v>
      </c>
      <c r="AA21" s="38" t="s">
        <v>317</v>
      </c>
      <c r="AB21" s="38" t="s">
        <v>317</v>
      </c>
      <c r="AC21" s="7" t="s">
        <v>55</v>
      </c>
      <c r="AD21" s="39" t="s">
        <v>317</v>
      </c>
      <c r="AE21" s="39" t="s">
        <v>317</v>
      </c>
      <c r="AF21" s="7" t="s">
        <v>1133</v>
      </c>
      <c r="AG21" s="40" t="s">
        <v>319</v>
      </c>
      <c r="AH21" s="41">
        <v>42936</v>
      </c>
      <c r="AI21" s="41">
        <v>42966</v>
      </c>
      <c r="AJ21" s="41">
        <v>43333</v>
      </c>
      <c r="AK21" s="42">
        <v>43312</v>
      </c>
      <c r="AM21" s="43" t="s">
        <v>371</v>
      </c>
    </row>
    <row r="22" spans="1:39" s="7" customFormat="1" x14ac:dyDescent="0.25">
      <c r="A22" s="7" t="str">
        <f>+MID(Tabla1[[#This Row],[N° Decreto
Expansión]],1,4)</f>
        <v>2017</v>
      </c>
      <c r="B22" s="7" t="str">
        <f>+RIGHT(Tabla1[[#This Row],[N° Decreto
Expansión]],3)</f>
        <v>418</v>
      </c>
      <c r="C22" s="32" t="s">
        <v>306</v>
      </c>
      <c r="D22" s="7" t="s">
        <v>307</v>
      </c>
      <c r="E22" s="7" t="s">
        <v>17</v>
      </c>
      <c r="F22" s="7" t="s">
        <v>308</v>
      </c>
      <c r="G22" s="7" t="s">
        <v>309</v>
      </c>
      <c r="H22" s="7" t="s">
        <v>310</v>
      </c>
      <c r="I22" s="7" t="s">
        <v>311</v>
      </c>
      <c r="J22" s="7">
        <v>1</v>
      </c>
      <c r="K22" s="33" t="s">
        <v>312</v>
      </c>
      <c r="L22" s="7" t="s">
        <v>355</v>
      </c>
      <c r="M22" s="7" t="s">
        <v>355</v>
      </c>
      <c r="N22" s="7" t="s">
        <v>372</v>
      </c>
      <c r="O22" s="7" t="s">
        <v>315</v>
      </c>
      <c r="P22" s="7" t="s">
        <v>311</v>
      </c>
      <c r="Q22" s="34">
        <v>43287</v>
      </c>
      <c r="R22" s="35" t="s">
        <v>316</v>
      </c>
      <c r="S22" s="34">
        <v>43673</v>
      </c>
      <c r="T22" s="36">
        <v>2.1315156661978514</v>
      </c>
      <c r="U22" s="33">
        <v>18</v>
      </c>
      <c r="V22" s="37">
        <v>4234822.5969346594</v>
      </c>
      <c r="W22" s="37">
        <f>Tabla1[[#This Row],[V.I. Adj]]/1000000</f>
        <v>4.2348225969346593</v>
      </c>
      <c r="X22" s="38" t="s">
        <v>317</v>
      </c>
      <c r="Y22" s="38" t="s">
        <v>317</v>
      </c>
      <c r="Z22" s="38" t="s">
        <v>317</v>
      </c>
      <c r="AA22" s="38" t="s">
        <v>317</v>
      </c>
      <c r="AB22" s="38" t="s">
        <v>317</v>
      </c>
      <c r="AC22" s="7" t="s">
        <v>55</v>
      </c>
      <c r="AD22" s="39" t="s">
        <v>317</v>
      </c>
      <c r="AE22" s="39" t="s">
        <v>317</v>
      </c>
      <c r="AF22" s="7" t="s">
        <v>1134</v>
      </c>
      <c r="AG22" s="40" t="s">
        <v>319</v>
      </c>
      <c r="AH22" s="41">
        <v>42936</v>
      </c>
      <c r="AI22" s="41">
        <v>42966</v>
      </c>
      <c r="AJ22" s="41">
        <v>43333</v>
      </c>
      <c r="AK22" s="42">
        <v>43312</v>
      </c>
      <c r="AM22" s="43" t="s">
        <v>373</v>
      </c>
    </row>
    <row r="23" spans="1:39" s="7" customFormat="1" x14ac:dyDescent="0.25">
      <c r="A23" s="7" t="str">
        <f>+MID(Tabla1[[#This Row],[N° Decreto
Expansión]],1,4)</f>
        <v>2017</v>
      </c>
      <c r="B23" s="7" t="str">
        <f>+RIGHT(Tabla1[[#This Row],[N° Decreto
Expansión]],3)</f>
        <v>418</v>
      </c>
      <c r="C23" s="32" t="s">
        <v>306</v>
      </c>
      <c r="D23" s="7" t="s">
        <v>307</v>
      </c>
      <c r="E23" s="7" t="s">
        <v>17</v>
      </c>
      <c r="F23" s="7" t="s">
        <v>308</v>
      </c>
      <c r="G23" s="7" t="s">
        <v>309</v>
      </c>
      <c r="H23" s="7" t="s">
        <v>310</v>
      </c>
      <c r="I23" s="7" t="s">
        <v>311</v>
      </c>
      <c r="J23" s="7">
        <v>1</v>
      </c>
      <c r="K23" s="33" t="s">
        <v>312</v>
      </c>
      <c r="L23" s="7" t="s">
        <v>355</v>
      </c>
      <c r="M23" s="7" t="s">
        <v>355</v>
      </c>
      <c r="N23" s="7" t="s">
        <v>374</v>
      </c>
      <c r="O23" s="7" t="s">
        <v>332</v>
      </c>
      <c r="P23" s="7" t="s">
        <v>311</v>
      </c>
      <c r="Q23" s="34">
        <v>43287</v>
      </c>
      <c r="R23" s="35" t="s">
        <v>316</v>
      </c>
      <c r="S23" s="34">
        <v>43673</v>
      </c>
      <c r="T23" s="36">
        <v>4.3721496791245187</v>
      </c>
      <c r="U23" s="33">
        <v>18</v>
      </c>
      <c r="V23" s="37">
        <v>5719251.4955372605</v>
      </c>
      <c r="W23" s="37">
        <f>Tabla1[[#This Row],[V.I. Adj]]/1000000</f>
        <v>5.7192514955372609</v>
      </c>
      <c r="X23" s="38" t="s">
        <v>317</v>
      </c>
      <c r="Y23" s="38" t="s">
        <v>317</v>
      </c>
      <c r="Z23" s="38" t="s">
        <v>317</v>
      </c>
      <c r="AA23" s="38" t="s">
        <v>317</v>
      </c>
      <c r="AB23" s="38" t="s">
        <v>317</v>
      </c>
      <c r="AC23" s="7" t="s">
        <v>55</v>
      </c>
      <c r="AD23" s="39" t="s">
        <v>317</v>
      </c>
      <c r="AE23" s="39" t="s">
        <v>317</v>
      </c>
      <c r="AF23" s="7" t="s">
        <v>1135</v>
      </c>
      <c r="AG23" s="40" t="s">
        <v>319</v>
      </c>
      <c r="AH23" s="41">
        <v>42936</v>
      </c>
      <c r="AI23" s="41">
        <v>42966</v>
      </c>
      <c r="AJ23" s="41">
        <v>43333</v>
      </c>
      <c r="AK23" s="42">
        <v>43312</v>
      </c>
      <c r="AM23" s="43" t="s">
        <v>375</v>
      </c>
    </row>
    <row r="24" spans="1:39" s="7" customFormat="1" x14ac:dyDescent="0.25">
      <c r="A24" s="7" t="str">
        <f>+MID(Tabla1[[#This Row],[N° Decreto
Expansión]],1,4)</f>
        <v>2017</v>
      </c>
      <c r="B24" s="7" t="str">
        <f>+RIGHT(Tabla1[[#This Row],[N° Decreto
Expansión]],3)</f>
        <v>418</v>
      </c>
      <c r="C24" s="32" t="s">
        <v>306</v>
      </c>
      <c r="D24" s="7" t="s">
        <v>307</v>
      </c>
      <c r="E24" s="7" t="s">
        <v>17</v>
      </c>
      <c r="F24" s="7" t="s">
        <v>308</v>
      </c>
      <c r="G24" s="7" t="s">
        <v>309</v>
      </c>
      <c r="H24" s="7" t="s">
        <v>310</v>
      </c>
      <c r="I24" s="7" t="s">
        <v>311</v>
      </c>
      <c r="J24" s="7">
        <v>1</v>
      </c>
      <c r="K24" s="33" t="s">
        <v>312</v>
      </c>
      <c r="L24" s="7" t="s">
        <v>355</v>
      </c>
      <c r="M24" s="7" t="s">
        <v>355</v>
      </c>
      <c r="N24" s="7" t="s">
        <v>376</v>
      </c>
      <c r="O24" s="7" t="s">
        <v>315</v>
      </c>
      <c r="P24" s="7" t="s">
        <v>311</v>
      </c>
      <c r="Q24" s="34">
        <v>43287</v>
      </c>
      <c r="R24" s="35" t="s">
        <v>316</v>
      </c>
      <c r="S24" s="34">
        <v>43673</v>
      </c>
      <c r="T24" s="36">
        <v>2.8921658890259119</v>
      </c>
      <c r="U24" s="33">
        <v>18</v>
      </c>
      <c r="V24" s="37">
        <v>5746056.5057811243</v>
      </c>
      <c r="W24" s="37">
        <f>Tabla1[[#This Row],[V.I. Adj]]/1000000</f>
        <v>5.7460565057811239</v>
      </c>
      <c r="X24" s="38" t="s">
        <v>317</v>
      </c>
      <c r="Y24" s="38" t="s">
        <v>317</v>
      </c>
      <c r="Z24" s="38" t="s">
        <v>317</v>
      </c>
      <c r="AA24" s="38" t="s">
        <v>317</v>
      </c>
      <c r="AB24" s="38" t="s">
        <v>317</v>
      </c>
      <c r="AC24" s="7" t="s">
        <v>55</v>
      </c>
      <c r="AD24" s="39" t="s">
        <v>317</v>
      </c>
      <c r="AE24" s="39" t="s">
        <v>317</v>
      </c>
      <c r="AF24" s="7" t="s">
        <v>1136</v>
      </c>
      <c r="AG24" s="40" t="s">
        <v>319</v>
      </c>
      <c r="AH24" s="41">
        <v>42936</v>
      </c>
      <c r="AI24" s="41">
        <v>42966</v>
      </c>
      <c r="AJ24" s="41">
        <v>43333</v>
      </c>
      <c r="AK24" s="42">
        <v>43312</v>
      </c>
      <c r="AM24" s="43" t="s">
        <v>377</v>
      </c>
    </row>
    <row r="25" spans="1:39" s="7" customFormat="1" x14ac:dyDescent="0.25">
      <c r="A25" s="7" t="str">
        <f>+MID(Tabla1[[#This Row],[N° Decreto
Expansión]],1,4)</f>
        <v>2017</v>
      </c>
      <c r="B25" s="7" t="str">
        <f>+RIGHT(Tabla1[[#This Row],[N° Decreto
Expansión]],3)</f>
        <v>418</v>
      </c>
      <c r="C25" s="32" t="s">
        <v>306</v>
      </c>
      <c r="D25" s="7" t="s">
        <v>307</v>
      </c>
      <c r="E25" s="7" t="s">
        <v>17</v>
      </c>
      <c r="F25" s="7" t="s">
        <v>308</v>
      </c>
      <c r="G25" s="7" t="s">
        <v>309</v>
      </c>
      <c r="H25" s="7" t="s">
        <v>310</v>
      </c>
      <c r="I25" s="7" t="s">
        <v>311</v>
      </c>
      <c r="J25" s="7">
        <v>1</v>
      </c>
      <c r="K25" s="33" t="s">
        <v>312</v>
      </c>
      <c r="L25" s="7" t="s">
        <v>355</v>
      </c>
      <c r="M25" s="7" t="s">
        <v>355</v>
      </c>
      <c r="N25" s="7" t="s">
        <v>378</v>
      </c>
      <c r="O25" s="7" t="s">
        <v>170</v>
      </c>
      <c r="P25" s="7" t="s">
        <v>311</v>
      </c>
      <c r="Q25" s="34">
        <v>43287</v>
      </c>
      <c r="R25" s="35" t="s">
        <v>316</v>
      </c>
      <c r="S25" s="34">
        <v>43673</v>
      </c>
      <c r="T25" s="36">
        <v>1.616646573865766</v>
      </c>
      <c r="U25" s="33">
        <v>18</v>
      </c>
      <c r="V25" s="37">
        <v>1764703.5988919665</v>
      </c>
      <c r="W25" s="37">
        <f>Tabla1[[#This Row],[V.I. Adj]]/1000000</f>
        <v>1.7647035988919666</v>
      </c>
      <c r="X25" s="38" t="s">
        <v>317</v>
      </c>
      <c r="Y25" s="38" t="s">
        <v>317</v>
      </c>
      <c r="Z25" s="38" t="s">
        <v>317</v>
      </c>
      <c r="AA25" s="38" t="s">
        <v>317</v>
      </c>
      <c r="AB25" s="38" t="s">
        <v>317</v>
      </c>
      <c r="AC25" s="7" t="s">
        <v>57</v>
      </c>
      <c r="AD25" s="39" t="s">
        <v>317</v>
      </c>
      <c r="AE25" s="39" t="s">
        <v>317</v>
      </c>
      <c r="AF25" s="7" t="s">
        <v>1137</v>
      </c>
      <c r="AG25" s="40" t="s">
        <v>319</v>
      </c>
      <c r="AH25" s="41">
        <v>42936</v>
      </c>
      <c r="AI25" s="41">
        <v>42966</v>
      </c>
      <c r="AJ25" s="41">
        <v>43333</v>
      </c>
      <c r="AK25" s="42">
        <v>43312</v>
      </c>
      <c r="AM25" s="43" t="s">
        <v>379</v>
      </c>
    </row>
    <row r="26" spans="1:39" s="7" customFormat="1" x14ac:dyDescent="0.25">
      <c r="A26" s="7" t="str">
        <f>+MID(Tabla1[[#This Row],[N° Decreto
Expansión]],1,4)</f>
        <v>2017</v>
      </c>
      <c r="B26" s="7" t="str">
        <f>+RIGHT(Tabla1[[#This Row],[N° Decreto
Expansión]],3)</f>
        <v>418</v>
      </c>
      <c r="C26" s="32" t="s">
        <v>306</v>
      </c>
      <c r="D26" s="7" t="s">
        <v>307</v>
      </c>
      <c r="E26" s="7" t="s">
        <v>17</v>
      </c>
      <c r="F26" s="7" t="s">
        <v>308</v>
      </c>
      <c r="G26" s="7" t="s">
        <v>309</v>
      </c>
      <c r="H26" s="7" t="s">
        <v>310</v>
      </c>
      <c r="I26" s="7" t="s">
        <v>311</v>
      </c>
      <c r="J26" s="7">
        <v>1</v>
      </c>
      <c r="K26" s="33" t="s">
        <v>312</v>
      </c>
      <c r="L26" s="7" t="s">
        <v>355</v>
      </c>
      <c r="M26" s="7" t="s">
        <v>355</v>
      </c>
      <c r="N26" s="7" t="s">
        <v>380</v>
      </c>
      <c r="O26" s="7" t="s">
        <v>170</v>
      </c>
      <c r="P26" s="7" t="s">
        <v>311</v>
      </c>
      <c r="Q26" s="34">
        <v>43287</v>
      </c>
      <c r="R26" s="35" t="s">
        <v>316</v>
      </c>
      <c r="S26" s="34">
        <v>43673</v>
      </c>
      <c r="T26" s="36">
        <v>2.207792568765568</v>
      </c>
      <c r="U26" s="33">
        <v>18</v>
      </c>
      <c r="V26" s="37">
        <v>2409988.401108033</v>
      </c>
      <c r="W26" s="37">
        <f>Tabla1[[#This Row],[V.I. Adj]]/1000000</f>
        <v>2.4099884011080328</v>
      </c>
      <c r="X26" s="38" t="s">
        <v>317</v>
      </c>
      <c r="Y26" s="38" t="s">
        <v>317</v>
      </c>
      <c r="Z26" s="38" t="s">
        <v>317</v>
      </c>
      <c r="AA26" s="38" t="s">
        <v>317</v>
      </c>
      <c r="AB26" s="38" t="s">
        <v>317</v>
      </c>
      <c r="AC26" s="7" t="s">
        <v>27</v>
      </c>
      <c r="AD26" s="39" t="s">
        <v>317</v>
      </c>
      <c r="AE26" s="39" t="s">
        <v>317</v>
      </c>
      <c r="AF26" s="7" t="s">
        <v>1138</v>
      </c>
      <c r="AG26" s="40" t="s">
        <v>319</v>
      </c>
      <c r="AH26" s="41">
        <v>42936</v>
      </c>
      <c r="AI26" s="41">
        <v>42966</v>
      </c>
      <c r="AJ26" s="41">
        <v>43332</v>
      </c>
      <c r="AK26" s="42">
        <v>43312</v>
      </c>
      <c r="AM26" s="43" t="s">
        <v>381</v>
      </c>
    </row>
    <row r="27" spans="1:39" s="7" customFormat="1" x14ac:dyDescent="0.25">
      <c r="A27" s="7" t="str">
        <f>+MID(Tabla1[[#This Row],[N° Decreto
Expansión]],1,4)</f>
        <v>2017</v>
      </c>
      <c r="B27" s="7" t="str">
        <f>+RIGHT(Tabla1[[#This Row],[N° Decreto
Expansión]],3)</f>
        <v>418</v>
      </c>
      <c r="C27" s="32" t="s">
        <v>306</v>
      </c>
      <c r="D27" s="7" t="s">
        <v>307</v>
      </c>
      <c r="E27" s="7" t="s">
        <v>17</v>
      </c>
      <c r="F27" s="7" t="s">
        <v>308</v>
      </c>
      <c r="G27" s="7" t="s">
        <v>309</v>
      </c>
      <c r="H27" s="7" t="s">
        <v>310</v>
      </c>
      <c r="I27" s="7" t="s">
        <v>311</v>
      </c>
      <c r="J27" s="7">
        <v>1</v>
      </c>
      <c r="K27" s="33" t="s">
        <v>312</v>
      </c>
      <c r="L27" s="7" t="s">
        <v>355</v>
      </c>
      <c r="M27" s="7" t="s">
        <v>355</v>
      </c>
      <c r="N27" s="7" t="s">
        <v>382</v>
      </c>
      <c r="O27" s="7" t="s">
        <v>332</v>
      </c>
      <c r="P27" s="7" t="s">
        <v>311</v>
      </c>
      <c r="Q27" s="34">
        <v>43287</v>
      </c>
      <c r="R27" s="35" t="s">
        <v>316</v>
      </c>
      <c r="S27" s="34">
        <v>43673</v>
      </c>
      <c r="T27" s="36">
        <v>14.275434195833027</v>
      </c>
      <c r="U27" s="33">
        <v>36</v>
      </c>
      <c r="V27" s="37">
        <v>18673834.238518201</v>
      </c>
      <c r="W27" s="37">
        <f>Tabla1[[#This Row],[V.I. Adj]]/1000000</f>
        <v>18.6738342385182</v>
      </c>
      <c r="X27" s="38" t="s">
        <v>317</v>
      </c>
      <c r="Y27" s="38" t="s">
        <v>317</v>
      </c>
      <c r="Z27" s="38" t="s">
        <v>317</v>
      </c>
      <c r="AA27" s="38" t="s">
        <v>317</v>
      </c>
      <c r="AB27" s="38" t="s">
        <v>317</v>
      </c>
      <c r="AC27" s="7" t="s">
        <v>55</v>
      </c>
      <c r="AD27" s="39" t="s">
        <v>317</v>
      </c>
      <c r="AE27" s="39" t="s">
        <v>317</v>
      </c>
      <c r="AF27" s="7" t="s">
        <v>1139</v>
      </c>
      <c r="AG27" s="40" t="s">
        <v>319</v>
      </c>
      <c r="AH27" s="41">
        <v>42936</v>
      </c>
      <c r="AI27" s="41">
        <v>42966</v>
      </c>
      <c r="AJ27" s="41">
        <v>43333</v>
      </c>
      <c r="AK27" s="42">
        <v>43312</v>
      </c>
      <c r="AM27" s="43" t="s">
        <v>383</v>
      </c>
    </row>
    <row r="28" spans="1:39" s="7" customFormat="1" x14ac:dyDescent="0.25">
      <c r="A28" s="7" t="str">
        <f>+MID(Tabla1[[#This Row],[N° Decreto
Expansión]],1,4)</f>
        <v>2017</v>
      </c>
      <c r="B28" s="7" t="str">
        <f>+RIGHT(Tabla1[[#This Row],[N° Decreto
Expansión]],3)</f>
        <v>418</v>
      </c>
      <c r="C28" s="32" t="s">
        <v>306</v>
      </c>
      <c r="D28" s="7" t="s">
        <v>307</v>
      </c>
      <c r="E28" s="7" t="s">
        <v>17</v>
      </c>
      <c r="F28" s="7" t="s">
        <v>308</v>
      </c>
      <c r="G28" s="7" t="s">
        <v>309</v>
      </c>
      <c r="H28" s="7" t="s">
        <v>310</v>
      </c>
      <c r="I28" s="7" t="s">
        <v>311</v>
      </c>
      <c r="J28" s="7">
        <v>1</v>
      </c>
      <c r="K28" s="33" t="s">
        <v>312</v>
      </c>
      <c r="L28" s="7" t="s">
        <v>355</v>
      </c>
      <c r="M28" s="7" t="s">
        <v>355</v>
      </c>
      <c r="N28" s="7" t="s">
        <v>384</v>
      </c>
      <c r="O28" s="7" t="s">
        <v>332</v>
      </c>
      <c r="P28" s="7" t="s">
        <v>311</v>
      </c>
      <c r="Q28" s="34">
        <v>43287</v>
      </c>
      <c r="R28" s="35" t="s">
        <v>316</v>
      </c>
      <c r="S28" s="34">
        <v>43673</v>
      </c>
      <c r="T28" s="36">
        <v>2.9017005018468764</v>
      </c>
      <c r="U28" s="33">
        <v>36</v>
      </c>
      <c r="V28" s="37">
        <v>3795742.6329722703</v>
      </c>
      <c r="W28" s="37">
        <f>Tabla1[[#This Row],[V.I. Adj]]/1000000</f>
        <v>3.7957426329722703</v>
      </c>
      <c r="X28" s="38" t="s">
        <v>317</v>
      </c>
      <c r="Y28" s="38" t="s">
        <v>317</v>
      </c>
      <c r="Z28" s="38" t="s">
        <v>317</v>
      </c>
      <c r="AA28" s="38" t="s">
        <v>317</v>
      </c>
      <c r="AB28" s="38" t="s">
        <v>317</v>
      </c>
      <c r="AC28" s="7" t="s">
        <v>56</v>
      </c>
      <c r="AD28" s="39" t="s">
        <v>317</v>
      </c>
      <c r="AE28" s="39" t="s">
        <v>317</v>
      </c>
      <c r="AF28" s="7" t="s">
        <v>1140</v>
      </c>
      <c r="AG28" s="40" t="s">
        <v>319</v>
      </c>
      <c r="AH28" s="41">
        <v>42936</v>
      </c>
      <c r="AI28" s="41">
        <v>42966</v>
      </c>
      <c r="AJ28" s="41">
        <v>43333</v>
      </c>
      <c r="AK28" s="42">
        <v>43312</v>
      </c>
      <c r="AM28" s="43" t="s">
        <v>385</v>
      </c>
    </row>
    <row r="29" spans="1:39" s="7" customFormat="1" x14ac:dyDescent="0.25">
      <c r="A29" s="7" t="str">
        <f>+MID(Tabla1[[#This Row],[N° Decreto
Expansión]],1,4)</f>
        <v>2017</v>
      </c>
      <c r="B29" s="7" t="str">
        <f>+RIGHT(Tabla1[[#This Row],[N° Decreto
Expansión]],3)</f>
        <v>418</v>
      </c>
      <c r="C29" s="32" t="s">
        <v>306</v>
      </c>
      <c r="D29" s="7" t="s">
        <v>307</v>
      </c>
      <c r="E29" s="7" t="s">
        <v>17</v>
      </c>
      <c r="F29" s="7" t="s">
        <v>308</v>
      </c>
      <c r="G29" s="7" t="s">
        <v>309</v>
      </c>
      <c r="H29" s="7" t="s">
        <v>310</v>
      </c>
      <c r="I29" s="7" t="s">
        <v>311</v>
      </c>
      <c r="J29" s="7">
        <v>1</v>
      </c>
      <c r="K29" s="33" t="s">
        <v>312</v>
      </c>
      <c r="L29" s="7" t="s">
        <v>355</v>
      </c>
      <c r="M29" s="7" t="s">
        <v>355</v>
      </c>
      <c r="N29" s="7" t="s">
        <v>386</v>
      </c>
      <c r="O29" s="7" t="s">
        <v>332</v>
      </c>
      <c r="P29" s="7" t="s">
        <v>311</v>
      </c>
      <c r="Q29" s="34">
        <v>43287</v>
      </c>
      <c r="R29" s="35" t="s">
        <v>316</v>
      </c>
      <c r="S29" s="34">
        <v>43673</v>
      </c>
      <c r="T29" s="36">
        <v>2.9017005018468764</v>
      </c>
      <c r="U29" s="33">
        <v>36</v>
      </c>
      <c r="V29" s="37">
        <v>3795742.6329722703</v>
      </c>
      <c r="W29" s="37">
        <f>Tabla1[[#This Row],[V.I. Adj]]/1000000</f>
        <v>3.7957426329722703</v>
      </c>
      <c r="X29" s="38" t="s">
        <v>317</v>
      </c>
      <c r="Y29" s="38" t="s">
        <v>317</v>
      </c>
      <c r="Z29" s="38" t="s">
        <v>317</v>
      </c>
      <c r="AA29" s="38" t="s">
        <v>317</v>
      </c>
      <c r="AB29" s="38" t="s">
        <v>317</v>
      </c>
      <c r="AC29" s="7" t="s">
        <v>34</v>
      </c>
      <c r="AD29" s="39" t="s">
        <v>317</v>
      </c>
      <c r="AE29" s="39" t="s">
        <v>317</v>
      </c>
      <c r="AF29" s="7" t="s">
        <v>1141</v>
      </c>
      <c r="AG29" s="40" t="s">
        <v>319</v>
      </c>
      <c r="AH29" s="41">
        <v>42936</v>
      </c>
      <c r="AI29" s="41">
        <v>42966</v>
      </c>
      <c r="AJ29" s="41">
        <v>43339</v>
      </c>
      <c r="AK29" s="42">
        <v>43312</v>
      </c>
      <c r="AM29" s="43" t="s">
        <v>387</v>
      </c>
    </row>
    <row r="30" spans="1:39" s="7" customFormat="1" x14ac:dyDescent="0.25">
      <c r="A30" s="7" t="str">
        <f>+MID(Tabla1[[#This Row],[N° Decreto
Expansión]],1,4)</f>
        <v>2017</v>
      </c>
      <c r="B30" s="7" t="str">
        <f>+RIGHT(Tabla1[[#This Row],[N° Decreto
Expansión]],3)</f>
        <v>418</v>
      </c>
      <c r="C30" s="32" t="s">
        <v>306</v>
      </c>
      <c r="D30" s="7" t="s">
        <v>307</v>
      </c>
      <c r="E30" s="7" t="s">
        <v>388</v>
      </c>
      <c r="F30" s="7" t="s">
        <v>308</v>
      </c>
      <c r="G30" s="45" t="s">
        <v>389</v>
      </c>
      <c r="H30" s="7" t="s">
        <v>390</v>
      </c>
      <c r="I30" s="7" t="s">
        <v>391</v>
      </c>
      <c r="J30" s="7">
        <v>1</v>
      </c>
      <c r="K30" s="33" t="s">
        <v>312</v>
      </c>
      <c r="L30" s="7" t="s">
        <v>392</v>
      </c>
      <c r="M30" s="7" t="s">
        <v>392</v>
      </c>
      <c r="N30" s="7" t="s">
        <v>393</v>
      </c>
      <c r="O30" s="7" t="s">
        <v>361</v>
      </c>
      <c r="P30" s="7" t="s">
        <v>319</v>
      </c>
      <c r="Q30" s="33" t="s">
        <v>317</v>
      </c>
      <c r="R30" s="33" t="s">
        <v>317</v>
      </c>
      <c r="S30" s="33" t="s">
        <v>317</v>
      </c>
      <c r="T30" s="36">
        <v>2.4196728536758911</v>
      </c>
      <c r="U30" s="33">
        <v>18</v>
      </c>
      <c r="V30" s="46" t="s">
        <v>319</v>
      </c>
      <c r="W30" s="51" t="s">
        <v>319</v>
      </c>
      <c r="X30" s="48" t="s">
        <v>317</v>
      </c>
      <c r="Y30" s="48" t="s">
        <v>317</v>
      </c>
      <c r="Z30" s="48" t="s">
        <v>317</v>
      </c>
      <c r="AA30" s="48" t="s">
        <v>317</v>
      </c>
      <c r="AB30" s="48" t="s">
        <v>317</v>
      </c>
      <c r="AC30" s="7" t="s">
        <v>27</v>
      </c>
      <c r="AD30" s="39" t="s">
        <v>317</v>
      </c>
      <c r="AE30" s="39" t="s">
        <v>317</v>
      </c>
      <c r="AF30" s="7" t="s">
        <v>1142</v>
      </c>
      <c r="AG30" s="50">
        <v>4</v>
      </c>
      <c r="AH30" s="41">
        <v>42936</v>
      </c>
      <c r="AI30" s="41">
        <v>42966</v>
      </c>
      <c r="AJ30" s="49" t="s">
        <v>317</v>
      </c>
      <c r="AK30" s="42">
        <v>44515</v>
      </c>
      <c r="AM30" s="43" t="s">
        <v>394</v>
      </c>
    </row>
    <row r="31" spans="1:39" s="7" customFormat="1" x14ac:dyDescent="0.25">
      <c r="A31" s="7" t="str">
        <f>+MID(Tabla1[[#This Row],[N° Decreto
Expansión]],1,4)</f>
        <v>2017</v>
      </c>
      <c r="B31" s="7" t="str">
        <f>+RIGHT(Tabla1[[#This Row],[N° Decreto
Expansión]],3)</f>
        <v>418</v>
      </c>
      <c r="C31" s="32" t="s">
        <v>306</v>
      </c>
      <c r="D31" s="7" t="s">
        <v>307</v>
      </c>
      <c r="E31" s="7" t="s">
        <v>17</v>
      </c>
      <c r="F31" s="7" t="s">
        <v>308</v>
      </c>
      <c r="G31" s="7" t="s">
        <v>309</v>
      </c>
      <c r="H31" s="7" t="s">
        <v>310</v>
      </c>
      <c r="I31" s="7" t="s">
        <v>311</v>
      </c>
      <c r="J31" s="7">
        <v>1</v>
      </c>
      <c r="K31" s="33" t="s">
        <v>312</v>
      </c>
      <c r="L31" s="7" t="s">
        <v>395</v>
      </c>
      <c r="M31" s="7" t="s">
        <v>392</v>
      </c>
      <c r="N31" s="7" t="s">
        <v>396</v>
      </c>
      <c r="O31" s="7" t="s">
        <v>329</v>
      </c>
      <c r="P31" s="7" t="s">
        <v>311</v>
      </c>
      <c r="Q31" s="34">
        <v>43287</v>
      </c>
      <c r="R31" s="35" t="s">
        <v>316</v>
      </c>
      <c r="S31" s="34">
        <v>43673</v>
      </c>
      <c r="T31" s="36">
        <v>2.0721891864229609</v>
      </c>
      <c r="U31" s="33">
        <v>18</v>
      </c>
      <c r="V31" s="37">
        <v>5789986.1699999999</v>
      </c>
      <c r="W31" s="37">
        <f>Tabla1[[#This Row],[V.I. Adj]]/1000000</f>
        <v>5.7899861699999997</v>
      </c>
      <c r="X31" s="38" t="s">
        <v>317</v>
      </c>
      <c r="Y31" s="38" t="s">
        <v>317</v>
      </c>
      <c r="Z31" s="38" t="s">
        <v>317</v>
      </c>
      <c r="AA31" s="38" t="s">
        <v>317</v>
      </c>
      <c r="AB31" s="38" t="s">
        <v>317</v>
      </c>
      <c r="AC31" s="7" t="s">
        <v>27</v>
      </c>
      <c r="AD31" s="39" t="s">
        <v>317</v>
      </c>
      <c r="AE31" s="39" t="s">
        <v>317</v>
      </c>
      <c r="AF31" s="7" t="s">
        <v>1143</v>
      </c>
      <c r="AG31" s="40" t="s">
        <v>319</v>
      </c>
      <c r="AH31" s="41">
        <v>42936</v>
      </c>
      <c r="AI31" s="41">
        <v>42966</v>
      </c>
      <c r="AJ31" s="41">
        <v>43328</v>
      </c>
      <c r="AK31" s="42">
        <v>43312</v>
      </c>
      <c r="AM31" s="43" t="s">
        <v>397</v>
      </c>
    </row>
    <row r="32" spans="1:39" s="7" customFormat="1" x14ac:dyDescent="0.25">
      <c r="A32" s="7" t="str">
        <f>+MID(Tabla1[[#This Row],[N° Decreto
Expansión]],1,4)</f>
        <v>2017</v>
      </c>
      <c r="B32" s="7" t="str">
        <f>+RIGHT(Tabla1[[#This Row],[N° Decreto
Expansión]],3)</f>
        <v>418</v>
      </c>
      <c r="C32" s="32" t="s">
        <v>306</v>
      </c>
      <c r="D32" s="7" t="s">
        <v>307</v>
      </c>
      <c r="E32" s="7" t="s">
        <v>17</v>
      </c>
      <c r="F32" s="7" t="s">
        <v>308</v>
      </c>
      <c r="G32" s="45" t="s">
        <v>309</v>
      </c>
      <c r="H32" s="7" t="s">
        <v>310</v>
      </c>
      <c r="I32" s="7" t="s">
        <v>363</v>
      </c>
      <c r="J32" s="7">
        <v>3</v>
      </c>
      <c r="K32" s="33" t="s">
        <v>312</v>
      </c>
      <c r="L32" s="7" t="s">
        <v>392</v>
      </c>
      <c r="M32" s="7" t="s">
        <v>392</v>
      </c>
      <c r="N32" s="7" t="s">
        <v>398</v>
      </c>
      <c r="O32" s="7" t="s">
        <v>399</v>
      </c>
      <c r="P32" s="7" t="s">
        <v>363</v>
      </c>
      <c r="Q32" s="34">
        <v>44005</v>
      </c>
      <c r="R32" s="33" t="s">
        <v>317</v>
      </c>
      <c r="S32" s="33" t="s">
        <v>317</v>
      </c>
      <c r="T32" s="36">
        <v>2.9726803972918345</v>
      </c>
      <c r="U32" s="33">
        <v>18</v>
      </c>
      <c r="V32" s="37">
        <v>4539137.92</v>
      </c>
      <c r="W32" s="37">
        <f>Tabla1[[#This Row],[V.I. Adj]]/1000000</f>
        <v>4.5391379199999999</v>
      </c>
      <c r="X32" s="48" t="s">
        <v>317</v>
      </c>
      <c r="Y32" s="48" t="s">
        <v>317</v>
      </c>
      <c r="Z32" s="48" t="s">
        <v>317</v>
      </c>
      <c r="AA32" s="48" t="s">
        <v>317</v>
      </c>
      <c r="AB32" s="48" t="s">
        <v>317</v>
      </c>
      <c r="AC32" s="7" t="s">
        <v>27</v>
      </c>
      <c r="AD32" s="39" t="s">
        <v>317</v>
      </c>
      <c r="AE32" s="39" t="s">
        <v>317</v>
      </c>
      <c r="AF32" s="7" t="s">
        <v>1144</v>
      </c>
      <c r="AG32" s="50">
        <v>418</v>
      </c>
      <c r="AH32" s="41">
        <v>42936</v>
      </c>
      <c r="AI32" s="41">
        <v>42966</v>
      </c>
      <c r="AJ32" s="49" t="s">
        <v>317</v>
      </c>
      <c r="AK32" s="49" t="s">
        <v>317</v>
      </c>
      <c r="AM32" s="43" t="s">
        <v>400</v>
      </c>
    </row>
    <row r="33" spans="1:39" s="7" customFormat="1" x14ac:dyDescent="0.25">
      <c r="A33" s="7" t="str">
        <f>+MID(Tabla1[[#This Row],[N° Decreto
Expansión]],1,4)</f>
        <v>2017</v>
      </c>
      <c r="B33" s="7" t="str">
        <f>+RIGHT(Tabla1[[#This Row],[N° Decreto
Expansión]],3)</f>
        <v>418</v>
      </c>
      <c r="C33" s="32" t="s">
        <v>306</v>
      </c>
      <c r="D33" s="7" t="s">
        <v>307</v>
      </c>
      <c r="E33" s="7" t="s">
        <v>17</v>
      </c>
      <c r="F33" s="7" t="s">
        <v>308</v>
      </c>
      <c r="G33" s="7" t="s">
        <v>309</v>
      </c>
      <c r="H33" s="7" t="s">
        <v>310</v>
      </c>
      <c r="I33" s="7" t="s">
        <v>323</v>
      </c>
      <c r="J33" s="7">
        <v>2</v>
      </c>
      <c r="K33" s="33" t="s">
        <v>312</v>
      </c>
      <c r="L33" s="7" t="s">
        <v>392</v>
      </c>
      <c r="M33" s="7" t="s">
        <v>392</v>
      </c>
      <c r="N33" s="7" t="s">
        <v>401</v>
      </c>
      <c r="O33" s="7" t="s">
        <v>329</v>
      </c>
      <c r="P33" s="7" t="s">
        <v>323</v>
      </c>
      <c r="Q33" s="34">
        <v>43607</v>
      </c>
      <c r="R33" s="33" t="s">
        <v>317</v>
      </c>
      <c r="S33" s="33" t="s">
        <v>317</v>
      </c>
      <c r="T33" s="36">
        <v>2.7576219081078568</v>
      </c>
      <c r="U33" s="33">
        <v>18</v>
      </c>
      <c r="V33" s="37">
        <v>4321492</v>
      </c>
      <c r="W33" s="37">
        <f>Tabla1[[#This Row],[V.I. Adj]]/1000000</f>
        <v>4.3214920000000001</v>
      </c>
      <c r="X33" s="38" t="s">
        <v>317</v>
      </c>
      <c r="Y33" s="38" t="s">
        <v>317</v>
      </c>
      <c r="Z33" s="38" t="s">
        <v>317</v>
      </c>
      <c r="AA33" s="38" t="s">
        <v>317</v>
      </c>
      <c r="AB33" s="38" t="s">
        <v>317</v>
      </c>
      <c r="AC33" s="7" t="s">
        <v>27</v>
      </c>
      <c r="AD33" s="39" t="s">
        <v>317</v>
      </c>
      <c r="AE33" s="39" t="s">
        <v>317</v>
      </c>
      <c r="AF33" s="7" t="s">
        <v>1145</v>
      </c>
      <c r="AG33" s="40" t="s">
        <v>319</v>
      </c>
      <c r="AH33" s="41">
        <v>42936</v>
      </c>
      <c r="AI33" s="41">
        <v>42966</v>
      </c>
      <c r="AJ33" s="41">
        <v>43651</v>
      </c>
      <c r="AK33" s="42">
        <v>43636</v>
      </c>
      <c r="AM33" s="43" t="s">
        <v>402</v>
      </c>
    </row>
    <row r="34" spans="1:39" s="7" customFormat="1" x14ac:dyDescent="0.25">
      <c r="A34" s="7" t="str">
        <f>+MID(Tabla1[[#This Row],[N° Decreto
Expansión]],1,4)</f>
        <v>2017</v>
      </c>
      <c r="B34" s="7" t="str">
        <f>+RIGHT(Tabla1[[#This Row],[N° Decreto
Expansión]],3)</f>
        <v>418</v>
      </c>
      <c r="C34" s="32" t="s">
        <v>306</v>
      </c>
      <c r="D34" s="7" t="s">
        <v>307</v>
      </c>
      <c r="E34" s="7" t="s">
        <v>17</v>
      </c>
      <c r="F34" s="7" t="s">
        <v>308</v>
      </c>
      <c r="G34" s="7" t="s">
        <v>309</v>
      </c>
      <c r="H34" s="7" t="s">
        <v>310</v>
      </c>
      <c r="I34" s="7" t="s">
        <v>311</v>
      </c>
      <c r="J34" s="7">
        <v>1</v>
      </c>
      <c r="K34" s="33" t="s">
        <v>312</v>
      </c>
      <c r="L34" s="7" t="s">
        <v>392</v>
      </c>
      <c r="M34" s="7" t="s">
        <v>392</v>
      </c>
      <c r="N34" s="7" t="s">
        <v>403</v>
      </c>
      <c r="O34" s="7" t="s">
        <v>315</v>
      </c>
      <c r="P34" s="7" t="s">
        <v>311</v>
      </c>
      <c r="Q34" s="34">
        <v>43287</v>
      </c>
      <c r="R34" s="35" t="s">
        <v>316</v>
      </c>
      <c r="S34" s="34">
        <v>43673</v>
      </c>
      <c r="T34" s="36">
        <v>10.264540402480609</v>
      </c>
      <c r="U34" s="33">
        <v>24</v>
      </c>
      <c r="V34" s="37">
        <v>12522628.223543486</v>
      </c>
      <c r="W34" s="37">
        <f>Tabla1[[#This Row],[V.I. Adj]]/1000000</f>
        <v>12.522628223543485</v>
      </c>
      <c r="X34" s="38" t="s">
        <v>317</v>
      </c>
      <c r="Y34" s="38" t="s">
        <v>317</v>
      </c>
      <c r="Z34" s="38" t="s">
        <v>317</v>
      </c>
      <c r="AA34" s="38" t="s">
        <v>317</v>
      </c>
      <c r="AB34" s="38" t="s">
        <v>317</v>
      </c>
      <c r="AC34" s="7" t="s">
        <v>27</v>
      </c>
      <c r="AD34" s="39" t="s">
        <v>317</v>
      </c>
      <c r="AE34" s="39" t="s">
        <v>317</v>
      </c>
      <c r="AF34" s="7" t="s">
        <v>1146</v>
      </c>
      <c r="AG34" s="40" t="s">
        <v>319</v>
      </c>
      <c r="AH34" s="41">
        <v>42936</v>
      </c>
      <c r="AI34" s="41">
        <v>42966</v>
      </c>
      <c r="AJ34" s="41">
        <v>43328</v>
      </c>
      <c r="AK34" s="42">
        <v>43312</v>
      </c>
      <c r="AM34" s="43" t="s">
        <v>404</v>
      </c>
    </row>
    <row r="35" spans="1:39" s="7" customFormat="1" x14ac:dyDescent="0.25">
      <c r="A35" s="7" t="str">
        <f>+MID(Tabla1[[#This Row],[N° Decreto
Expansión]],1,4)</f>
        <v>2017</v>
      </c>
      <c r="B35" s="7" t="str">
        <f>+RIGHT(Tabla1[[#This Row],[N° Decreto
Expansión]],3)</f>
        <v>418</v>
      </c>
      <c r="C35" s="32" t="s">
        <v>306</v>
      </c>
      <c r="D35" s="7" t="s">
        <v>307</v>
      </c>
      <c r="E35" s="7" t="s">
        <v>17</v>
      </c>
      <c r="F35" s="7" t="s">
        <v>308</v>
      </c>
      <c r="G35" s="7" t="s">
        <v>309</v>
      </c>
      <c r="H35" s="7" t="s">
        <v>310</v>
      </c>
      <c r="I35" s="7" t="s">
        <v>311</v>
      </c>
      <c r="J35" s="7">
        <v>1</v>
      </c>
      <c r="K35" s="33" t="s">
        <v>33</v>
      </c>
      <c r="L35" s="52" t="s">
        <v>392</v>
      </c>
      <c r="M35" s="7" t="s">
        <v>405</v>
      </c>
      <c r="N35" s="7" t="s">
        <v>406</v>
      </c>
      <c r="O35" s="7" t="s">
        <v>315</v>
      </c>
      <c r="P35" s="7" t="s">
        <v>311</v>
      </c>
      <c r="Q35" s="34">
        <v>43287</v>
      </c>
      <c r="R35" s="35" t="s">
        <v>316</v>
      </c>
      <c r="S35" s="34">
        <v>43673</v>
      </c>
      <c r="T35" s="36">
        <v>4.7916726432469607</v>
      </c>
      <c r="U35" s="33">
        <v>24</v>
      </c>
      <c r="V35" s="37">
        <v>5845788.7764565162</v>
      </c>
      <c r="W35" s="37">
        <f>Tabla1[[#This Row],[V.I. Adj]]/1000000</f>
        <v>5.8457887764565166</v>
      </c>
      <c r="X35" s="38" t="s">
        <v>317</v>
      </c>
      <c r="Y35" s="38" t="s">
        <v>317</v>
      </c>
      <c r="Z35" s="38" t="s">
        <v>317</v>
      </c>
      <c r="AA35" s="38" t="s">
        <v>317</v>
      </c>
      <c r="AB35" s="38" t="s">
        <v>317</v>
      </c>
      <c r="AC35" s="7" t="s">
        <v>34</v>
      </c>
      <c r="AD35" s="39" t="s">
        <v>317</v>
      </c>
      <c r="AE35" s="39" t="s">
        <v>317</v>
      </c>
      <c r="AF35" s="7" t="s">
        <v>1147</v>
      </c>
      <c r="AG35" s="40" t="s">
        <v>319</v>
      </c>
      <c r="AH35" s="41">
        <v>42936</v>
      </c>
      <c r="AI35" s="41">
        <v>42966</v>
      </c>
      <c r="AJ35" s="41">
        <v>43339</v>
      </c>
      <c r="AK35" s="42">
        <v>43312</v>
      </c>
      <c r="AM35" s="43" t="s">
        <v>407</v>
      </c>
    </row>
    <row r="36" spans="1:39" s="7" customFormat="1" x14ac:dyDescent="0.25">
      <c r="A36" s="7" t="str">
        <f>+MID(Tabla1[[#This Row],[N° Decreto
Expansión]],1,4)</f>
        <v>2017</v>
      </c>
      <c r="B36" s="7" t="str">
        <f>+RIGHT(Tabla1[[#This Row],[N° Decreto
Expansión]],3)</f>
        <v>418</v>
      </c>
      <c r="C36" s="32" t="s">
        <v>306</v>
      </c>
      <c r="D36" s="7" t="s">
        <v>307</v>
      </c>
      <c r="E36" s="7" t="s">
        <v>17</v>
      </c>
      <c r="F36" s="7" t="s">
        <v>308</v>
      </c>
      <c r="G36" s="7" t="s">
        <v>309</v>
      </c>
      <c r="H36" s="7" t="s">
        <v>310</v>
      </c>
      <c r="I36" s="7" t="s">
        <v>311</v>
      </c>
      <c r="J36" s="7">
        <v>1</v>
      </c>
      <c r="K36" s="33" t="s">
        <v>312</v>
      </c>
      <c r="L36" s="7" t="s">
        <v>408</v>
      </c>
      <c r="M36" s="7" t="s">
        <v>408</v>
      </c>
      <c r="N36" s="7" t="s">
        <v>409</v>
      </c>
      <c r="O36" s="7" t="s">
        <v>410</v>
      </c>
      <c r="P36" s="7" t="s">
        <v>311</v>
      </c>
      <c r="Q36" s="34">
        <v>43287</v>
      </c>
      <c r="R36" s="35" t="s">
        <v>316</v>
      </c>
      <c r="S36" s="34">
        <v>43673</v>
      </c>
      <c r="T36" s="36">
        <v>2.7830475422970955</v>
      </c>
      <c r="U36" s="33">
        <v>24</v>
      </c>
      <c r="V36" s="37">
        <v>2550807.6391318431</v>
      </c>
      <c r="W36" s="37">
        <f>Tabla1[[#This Row],[V.I. Adj]]/1000000</f>
        <v>2.5508076391318433</v>
      </c>
      <c r="X36" s="38" t="s">
        <v>317</v>
      </c>
      <c r="Y36" s="38" t="s">
        <v>317</v>
      </c>
      <c r="Z36" s="38" t="s">
        <v>317</v>
      </c>
      <c r="AA36" s="38" t="s">
        <v>317</v>
      </c>
      <c r="AB36" s="38" t="s">
        <v>317</v>
      </c>
      <c r="AC36" s="7" t="s">
        <v>27</v>
      </c>
      <c r="AD36" s="39" t="s">
        <v>317</v>
      </c>
      <c r="AE36" s="39" t="s">
        <v>317</v>
      </c>
      <c r="AF36" s="7" t="s">
        <v>1148</v>
      </c>
      <c r="AG36" s="40" t="s">
        <v>319</v>
      </c>
      <c r="AH36" s="41">
        <v>42936</v>
      </c>
      <c r="AI36" s="41">
        <v>42966</v>
      </c>
      <c r="AJ36" s="41">
        <v>43332</v>
      </c>
      <c r="AK36" s="42">
        <v>43312</v>
      </c>
      <c r="AM36" s="43" t="s">
        <v>411</v>
      </c>
    </row>
    <row r="37" spans="1:39" s="7" customFormat="1" x14ac:dyDescent="0.25">
      <c r="A37" s="7" t="str">
        <f>+MID(Tabla1[[#This Row],[N° Decreto
Expansión]],1,4)</f>
        <v>2017</v>
      </c>
      <c r="B37" s="7" t="str">
        <f>+RIGHT(Tabla1[[#This Row],[N° Decreto
Expansión]],3)</f>
        <v>418</v>
      </c>
      <c r="C37" s="32" t="s">
        <v>306</v>
      </c>
      <c r="D37" s="7" t="s">
        <v>307</v>
      </c>
      <c r="E37" s="7" t="s">
        <v>17</v>
      </c>
      <c r="F37" s="7" t="s">
        <v>308</v>
      </c>
      <c r="G37" s="7" t="s">
        <v>309</v>
      </c>
      <c r="H37" s="7" t="s">
        <v>310</v>
      </c>
      <c r="I37" s="7" t="s">
        <v>311</v>
      </c>
      <c r="J37" s="7">
        <v>1</v>
      </c>
      <c r="K37" s="33" t="s">
        <v>312</v>
      </c>
      <c r="L37" s="7" t="s">
        <v>408</v>
      </c>
      <c r="M37" s="7" t="s">
        <v>408</v>
      </c>
      <c r="N37" s="7" t="s">
        <v>412</v>
      </c>
      <c r="O37" s="7" t="s">
        <v>410</v>
      </c>
      <c r="P37" s="7" t="s">
        <v>311</v>
      </c>
      <c r="Q37" s="34">
        <v>43287</v>
      </c>
      <c r="R37" s="35" t="s">
        <v>316</v>
      </c>
      <c r="S37" s="34">
        <v>43673</v>
      </c>
      <c r="T37" s="36">
        <v>2.1738917231799162</v>
      </c>
      <c r="U37" s="33">
        <v>18</v>
      </c>
      <c r="V37" s="37">
        <v>1992484.6880466472</v>
      </c>
      <c r="W37" s="37">
        <f>Tabla1[[#This Row],[V.I. Adj]]/1000000</f>
        <v>1.9924846880466471</v>
      </c>
      <c r="X37" s="38" t="s">
        <v>317</v>
      </c>
      <c r="Y37" s="38" t="s">
        <v>317</v>
      </c>
      <c r="Z37" s="38" t="s">
        <v>317</v>
      </c>
      <c r="AA37" s="38" t="s">
        <v>317</v>
      </c>
      <c r="AB37" s="38" t="s">
        <v>317</v>
      </c>
      <c r="AC37" s="7" t="s">
        <v>27</v>
      </c>
      <c r="AD37" s="39" t="s">
        <v>317</v>
      </c>
      <c r="AE37" s="39" t="s">
        <v>317</v>
      </c>
      <c r="AF37" s="7" t="s">
        <v>1149</v>
      </c>
      <c r="AG37" s="40" t="s">
        <v>319</v>
      </c>
      <c r="AH37" s="41">
        <v>42936</v>
      </c>
      <c r="AI37" s="41">
        <v>42966</v>
      </c>
      <c r="AJ37" s="41">
        <v>43332</v>
      </c>
      <c r="AK37" s="42">
        <v>43312</v>
      </c>
      <c r="AM37" s="43" t="s">
        <v>413</v>
      </c>
    </row>
    <row r="38" spans="1:39" s="7" customFormat="1" x14ac:dyDescent="0.25">
      <c r="A38" s="7" t="str">
        <f>+MID(Tabla1[[#This Row],[N° Decreto
Expansión]],1,4)</f>
        <v>2017</v>
      </c>
      <c r="B38" s="7" t="str">
        <f>+RIGHT(Tabla1[[#This Row],[N° Decreto
Expansión]],3)</f>
        <v>418</v>
      </c>
      <c r="C38" s="32" t="s">
        <v>306</v>
      </c>
      <c r="D38" s="7" t="s">
        <v>307</v>
      </c>
      <c r="E38" s="7" t="s">
        <v>17</v>
      </c>
      <c r="F38" s="7" t="s">
        <v>308</v>
      </c>
      <c r="G38" s="7" t="s">
        <v>309</v>
      </c>
      <c r="H38" s="7" t="s">
        <v>310</v>
      </c>
      <c r="I38" s="7" t="s">
        <v>311</v>
      </c>
      <c r="J38" s="7">
        <v>1</v>
      </c>
      <c r="K38" s="33" t="s">
        <v>312</v>
      </c>
      <c r="L38" s="7" t="s">
        <v>408</v>
      </c>
      <c r="M38" s="7" t="s">
        <v>408</v>
      </c>
      <c r="N38" s="7" t="s">
        <v>414</v>
      </c>
      <c r="O38" s="7" t="s">
        <v>410</v>
      </c>
      <c r="P38" s="7" t="s">
        <v>311</v>
      </c>
      <c r="Q38" s="34">
        <v>43287</v>
      </c>
      <c r="R38" s="35" t="s">
        <v>316</v>
      </c>
      <c r="S38" s="34">
        <v>43673</v>
      </c>
      <c r="T38" s="36">
        <v>2.8063543736372307</v>
      </c>
      <c r="U38" s="33">
        <v>18</v>
      </c>
      <c r="V38" s="37">
        <v>2572169.5607385808</v>
      </c>
      <c r="W38" s="37">
        <f>Tabla1[[#This Row],[V.I. Adj]]/1000000</f>
        <v>2.5721695607385806</v>
      </c>
      <c r="X38" s="38" t="s">
        <v>317</v>
      </c>
      <c r="Y38" s="38" t="s">
        <v>317</v>
      </c>
      <c r="Z38" s="38" t="s">
        <v>317</v>
      </c>
      <c r="AA38" s="38" t="s">
        <v>317</v>
      </c>
      <c r="AB38" s="38" t="s">
        <v>317</v>
      </c>
      <c r="AC38" s="7" t="s">
        <v>27</v>
      </c>
      <c r="AD38" s="39" t="s">
        <v>317</v>
      </c>
      <c r="AE38" s="39" t="s">
        <v>317</v>
      </c>
      <c r="AF38" s="7" t="s">
        <v>1150</v>
      </c>
      <c r="AG38" s="40" t="s">
        <v>319</v>
      </c>
      <c r="AH38" s="41">
        <v>42936</v>
      </c>
      <c r="AI38" s="41">
        <v>42966</v>
      </c>
      <c r="AJ38" s="41">
        <v>43332</v>
      </c>
      <c r="AK38" s="42">
        <v>43312</v>
      </c>
      <c r="AM38" s="43" t="s">
        <v>415</v>
      </c>
    </row>
    <row r="39" spans="1:39" s="7" customFormat="1" x14ac:dyDescent="0.25">
      <c r="A39" s="7" t="str">
        <f>+MID(Tabla1[[#This Row],[N° Decreto
Expansión]],1,4)</f>
        <v>2017</v>
      </c>
      <c r="B39" s="7" t="str">
        <f>+RIGHT(Tabla1[[#This Row],[N° Decreto
Expansión]],3)</f>
        <v>418</v>
      </c>
      <c r="C39" s="32" t="s">
        <v>306</v>
      </c>
      <c r="D39" s="7" t="s">
        <v>307</v>
      </c>
      <c r="E39" s="7" t="s">
        <v>17</v>
      </c>
      <c r="F39" s="7" t="s">
        <v>308</v>
      </c>
      <c r="G39" s="7" t="s">
        <v>309</v>
      </c>
      <c r="H39" s="7" t="s">
        <v>310</v>
      </c>
      <c r="I39" s="7" t="s">
        <v>311</v>
      </c>
      <c r="J39" s="7">
        <v>1</v>
      </c>
      <c r="K39" s="33" t="s">
        <v>312</v>
      </c>
      <c r="L39" s="7" t="s">
        <v>408</v>
      </c>
      <c r="M39" s="7" t="s">
        <v>408</v>
      </c>
      <c r="N39" s="7" t="s">
        <v>416</v>
      </c>
      <c r="O39" s="7" t="s">
        <v>410</v>
      </c>
      <c r="P39" s="7" t="s">
        <v>311</v>
      </c>
      <c r="Q39" s="34">
        <v>43287</v>
      </c>
      <c r="R39" s="35" t="s">
        <v>316</v>
      </c>
      <c r="S39" s="34">
        <v>43673</v>
      </c>
      <c r="T39" s="36">
        <v>1.5859239325537693</v>
      </c>
      <c r="U39" s="33">
        <v>18</v>
      </c>
      <c r="V39" s="37">
        <v>1453581.6656948493</v>
      </c>
      <c r="W39" s="37">
        <f>Tabla1[[#This Row],[V.I. Adj]]/1000000</f>
        <v>1.4535816656948493</v>
      </c>
      <c r="X39" s="38" t="s">
        <v>317</v>
      </c>
      <c r="Y39" s="38" t="s">
        <v>317</v>
      </c>
      <c r="Z39" s="38" t="s">
        <v>317</v>
      </c>
      <c r="AA39" s="38" t="s">
        <v>317</v>
      </c>
      <c r="AB39" s="38" t="s">
        <v>317</v>
      </c>
      <c r="AC39" s="7" t="s">
        <v>27</v>
      </c>
      <c r="AD39" s="39" t="s">
        <v>317</v>
      </c>
      <c r="AE39" s="39" t="s">
        <v>317</v>
      </c>
      <c r="AF39" s="7" t="s">
        <v>1151</v>
      </c>
      <c r="AG39" s="40" t="s">
        <v>319</v>
      </c>
      <c r="AH39" s="41">
        <v>42936</v>
      </c>
      <c r="AI39" s="41">
        <v>42966</v>
      </c>
      <c r="AJ39" s="41">
        <v>43332</v>
      </c>
      <c r="AK39" s="42">
        <v>43312</v>
      </c>
      <c r="AM39" s="43" t="s">
        <v>417</v>
      </c>
    </row>
    <row r="40" spans="1:39" s="7" customFormat="1" x14ac:dyDescent="0.25">
      <c r="A40" s="7" t="str">
        <f>+MID(Tabla1[[#This Row],[N° Decreto
Expansión]],1,4)</f>
        <v>2017</v>
      </c>
      <c r="B40" s="7" t="str">
        <f>+RIGHT(Tabla1[[#This Row],[N° Decreto
Expansión]],3)</f>
        <v>418</v>
      </c>
      <c r="C40" s="32" t="s">
        <v>306</v>
      </c>
      <c r="D40" s="7" t="s">
        <v>307</v>
      </c>
      <c r="E40" s="7" t="s">
        <v>17</v>
      </c>
      <c r="F40" s="7" t="s">
        <v>308</v>
      </c>
      <c r="G40" s="7" t="s">
        <v>309</v>
      </c>
      <c r="H40" s="7" t="s">
        <v>310</v>
      </c>
      <c r="I40" s="7" t="s">
        <v>311</v>
      </c>
      <c r="J40" s="7">
        <v>1</v>
      </c>
      <c r="K40" s="33" t="s">
        <v>312</v>
      </c>
      <c r="L40" s="7" t="s">
        <v>408</v>
      </c>
      <c r="M40" s="7" t="s">
        <v>408</v>
      </c>
      <c r="N40" s="7" t="s">
        <v>418</v>
      </c>
      <c r="O40" s="7" t="s">
        <v>410</v>
      </c>
      <c r="P40" s="7" t="s">
        <v>311</v>
      </c>
      <c r="Q40" s="34">
        <v>43287</v>
      </c>
      <c r="R40" s="35" t="s">
        <v>316</v>
      </c>
      <c r="S40" s="34">
        <v>43673</v>
      </c>
      <c r="T40" s="36">
        <v>0.75853141997895701</v>
      </c>
      <c r="U40" s="33">
        <v>18</v>
      </c>
      <c r="V40" s="37">
        <v>695233.44865565258</v>
      </c>
      <c r="W40" s="37">
        <f>Tabla1[[#This Row],[V.I. Adj]]/1000000</f>
        <v>0.69523344865565262</v>
      </c>
      <c r="X40" s="38" t="s">
        <v>317</v>
      </c>
      <c r="Y40" s="38" t="s">
        <v>317</v>
      </c>
      <c r="Z40" s="38" t="s">
        <v>317</v>
      </c>
      <c r="AA40" s="38" t="s">
        <v>317</v>
      </c>
      <c r="AB40" s="38" t="s">
        <v>317</v>
      </c>
      <c r="AC40" s="7" t="s">
        <v>27</v>
      </c>
      <c r="AD40" s="39" t="s">
        <v>317</v>
      </c>
      <c r="AE40" s="39" t="s">
        <v>317</v>
      </c>
      <c r="AF40" s="7" t="s">
        <v>1152</v>
      </c>
      <c r="AG40" s="40" t="s">
        <v>319</v>
      </c>
      <c r="AH40" s="41">
        <v>42936</v>
      </c>
      <c r="AI40" s="41">
        <v>42966</v>
      </c>
      <c r="AJ40" s="41">
        <v>43332</v>
      </c>
      <c r="AK40" s="42">
        <v>43312</v>
      </c>
      <c r="AM40" s="43" t="s">
        <v>419</v>
      </c>
    </row>
    <row r="41" spans="1:39" s="7" customFormat="1" x14ac:dyDescent="0.25">
      <c r="A41" s="7" t="str">
        <f>+MID(Tabla1[[#This Row],[N° Decreto
Expansión]],1,4)</f>
        <v>2017</v>
      </c>
      <c r="B41" s="7" t="str">
        <f>+RIGHT(Tabla1[[#This Row],[N° Decreto
Expansión]],3)</f>
        <v>418</v>
      </c>
      <c r="C41" s="32" t="s">
        <v>306</v>
      </c>
      <c r="D41" s="7" t="s">
        <v>307</v>
      </c>
      <c r="E41" s="7" t="s">
        <v>17</v>
      </c>
      <c r="F41" s="7" t="s">
        <v>308</v>
      </c>
      <c r="G41" s="7" t="s">
        <v>309</v>
      </c>
      <c r="H41" s="7" t="s">
        <v>310</v>
      </c>
      <c r="I41" s="7" t="s">
        <v>311</v>
      </c>
      <c r="J41" s="7">
        <v>1</v>
      </c>
      <c r="K41" s="33" t="s">
        <v>33</v>
      </c>
      <c r="L41" s="7" t="s">
        <v>408</v>
      </c>
      <c r="M41" s="7" t="s">
        <v>408</v>
      </c>
      <c r="N41" s="7" t="s">
        <v>420</v>
      </c>
      <c r="O41" s="7" t="s">
        <v>410</v>
      </c>
      <c r="P41" s="7" t="s">
        <v>311</v>
      </c>
      <c r="Q41" s="34">
        <v>43287</v>
      </c>
      <c r="R41" s="35" t="s">
        <v>316</v>
      </c>
      <c r="S41" s="34">
        <v>43673</v>
      </c>
      <c r="T41" s="36">
        <v>2.9737397987163861</v>
      </c>
      <c r="U41" s="33">
        <v>24</v>
      </c>
      <c r="V41" s="37">
        <v>2725586.997732426</v>
      </c>
      <c r="W41" s="37">
        <f>Tabla1[[#This Row],[V.I. Adj]]/1000000</f>
        <v>2.7255869977324259</v>
      </c>
      <c r="X41" s="38" t="s">
        <v>317</v>
      </c>
      <c r="Y41" s="38" t="s">
        <v>317</v>
      </c>
      <c r="Z41" s="38" t="s">
        <v>317</v>
      </c>
      <c r="AA41" s="38" t="s">
        <v>317</v>
      </c>
      <c r="AB41" s="38" t="s">
        <v>317</v>
      </c>
      <c r="AC41" s="7" t="s">
        <v>27</v>
      </c>
      <c r="AD41" s="39" t="s">
        <v>317</v>
      </c>
      <c r="AE41" s="39" t="s">
        <v>317</v>
      </c>
      <c r="AF41" s="7" t="s">
        <v>1153</v>
      </c>
      <c r="AG41" s="40" t="s">
        <v>319</v>
      </c>
      <c r="AH41" s="41">
        <v>42936</v>
      </c>
      <c r="AI41" s="41">
        <v>42966</v>
      </c>
      <c r="AJ41" s="41">
        <v>43332</v>
      </c>
      <c r="AK41" s="42">
        <v>43312</v>
      </c>
      <c r="AM41" s="43" t="s">
        <v>421</v>
      </c>
    </row>
    <row r="42" spans="1:39" s="7" customFormat="1" x14ac:dyDescent="0.25">
      <c r="A42" s="7" t="str">
        <f>+MID(Tabla1[[#This Row],[N° Decreto
Expansión]],1,4)</f>
        <v>2017</v>
      </c>
      <c r="B42" s="7" t="str">
        <f>+RIGHT(Tabla1[[#This Row],[N° Decreto
Expansión]],3)</f>
        <v>418</v>
      </c>
      <c r="C42" s="32" t="s">
        <v>306</v>
      </c>
      <c r="D42" s="7" t="s">
        <v>307</v>
      </c>
      <c r="E42" s="7" t="s">
        <v>17</v>
      </c>
      <c r="F42" s="7" t="s">
        <v>308</v>
      </c>
      <c r="G42" s="7" t="s">
        <v>309</v>
      </c>
      <c r="H42" s="7" t="s">
        <v>310</v>
      </c>
      <c r="I42" s="7" t="s">
        <v>311</v>
      </c>
      <c r="J42" s="7">
        <v>1</v>
      </c>
      <c r="K42" s="33" t="s">
        <v>312</v>
      </c>
      <c r="L42" s="7" t="s">
        <v>408</v>
      </c>
      <c r="M42" s="7" t="s">
        <v>408</v>
      </c>
      <c r="N42" s="7" t="s">
        <v>422</v>
      </c>
      <c r="O42" s="7" t="s">
        <v>170</v>
      </c>
      <c r="P42" s="7" t="s">
        <v>311</v>
      </c>
      <c r="Q42" s="34">
        <v>43287</v>
      </c>
      <c r="R42" s="35" t="s">
        <v>316</v>
      </c>
      <c r="S42" s="34">
        <v>43673</v>
      </c>
      <c r="T42" s="36">
        <v>3.2407089577033936</v>
      </c>
      <c r="U42" s="33">
        <v>48</v>
      </c>
      <c r="V42" s="37">
        <v>4625546.846461596</v>
      </c>
      <c r="W42" s="37">
        <f>Tabla1[[#This Row],[V.I. Adj]]/1000000</f>
        <v>4.6255468464615959</v>
      </c>
      <c r="X42" s="38" t="s">
        <v>317</v>
      </c>
      <c r="Y42" s="38" t="s">
        <v>317</v>
      </c>
      <c r="Z42" s="38" t="s">
        <v>317</v>
      </c>
      <c r="AA42" s="38" t="s">
        <v>317</v>
      </c>
      <c r="AB42" s="38" t="s">
        <v>317</v>
      </c>
      <c r="AC42" s="7" t="s">
        <v>34</v>
      </c>
      <c r="AD42" s="39" t="s">
        <v>317</v>
      </c>
      <c r="AE42" s="39" t="s">
        <v>317</v>
      </c>
      <c r="AF42" s="7" t="s">
        <v>1154</v>
      </c>
      <c r="AG42" s="40" t="s">
        <v>319</v>
      </c>
      <c r="AH42" s="41">
        <v>42936</v>
      </c>
      <c r="AI42" s="41">
        <v>42966</v>
      </c>
      <c r="AJ42" s="41">
        <v>43287</v>
      </c>
      <c r="AK42" s="42">
        <v>43312</v>
      </c>
      <c r="AM42" s="43" t="s">
        <v>423</v>
      </c>
    </row>
    <row r="43" spans="1:39" s="7" customFormat="1" x14ac:dyDescent="0.25">
      <c r="A43" s="7" t="str">
        <f>+MID(Tabla1[[#This Row],[N° Decreto
Expansión]],1,4)</f>
        <v>2017</v>
      </c>
      <c r="B43" s="7" t="str">
        <f>+RIGHT(Tabla1[[#This Row],[N° Decreto
Expansión]],3)</f>
        <v>418</v>
      </c>
      <c r="C43" s="32" t="s">
        <v>306</v>
      </c>
      <c r="D43" s="7" t="s">
        <v>307</v>
      </c>
      <c r="E43" s="7" t="s">
        <v>17</v>
      </c>
      <c r="F43" s="7" t="s">
        <v>308</v>
      </c>
      <c r="G43" s="7" t="s">
        <v>309</v>
      </c>
      <c r="H43" s="7" t="s">
        <v>310</v>
      </c>
      <c r="I43" s="7" t="s">
        <v>311</v>
      </c>
      <c r="J43" s="7">
        <v>1</v>
      </c>
      <c r="K43" s="33" t="s">
        <v>33</v>
      </c>
      <c r="L43" s="7" t="s">
        <v>408</v>
      </c>
      <c r="M43" s="7" t="s">
        <v>408</v>
      </c>
      <c r="N43" s="7" t="s">
        <v>424</v>
      </c>
      <c r="O43" s="7" t="s">
        <v>175</v>
      </c>
      <c r="P43" s="7" t="s">
        <v>311</v>
      </c>
      <c r="Q43" s="34">
        <v>43287</v>
      </c>
      <c r="R43" s="35" t="s">
        <v>316</v>
      </c>
      <c r="S43" s="34">
        <v>43673</v>
      </c>
      <c r="T43" s="36">
        <v>1.9440016140522154</v>
      </c>
      <c r="U43" s="33">
        <v>18</v>
      </c>
      <c r="V43" s="37">
        <v>3167987.2786432654</v>
      </c>
      <c r="W43" s="37">
        <f>Tabla1[[#This Row],[V.I. Adj]]/1000000</f>
        <v>3.1679872786432655</v>
      </c>
      <c r="X43" s="38" t="s">
        <v>317</v>
      </c>
      <c r="Y43" s="38" t="s">
        <v>317</v>
      </c>
      <c r="Z43" s="38" t="s">
        <v>317</v>
      </c>
      <c r="AA43" s="38" t="s">
        <v>317</v>
      </c>
      <c r="AB43" s="38" t="s">
        <v>317</v>
      </c>
      <c r="AC43" s="7" t="s">
        <v>27</v>
      </c>
      <c r="AD43" s="39" t="s">
        <v>317</v>
      </c>
      <c r="AE43" s="39" t="s">
        <v>317</v>
      </c>
      <c r="AF43" s="7" t="s">
        <v>1155</v>
      </c>
      <c r="AG43" s="40" t="s">
        <v>319</v>
      </c>
      <c r="AH43" s="41">
        <v>42936</v>
      </c>
      <c r="AI43" s="41">
        <v>42966</v>
      </c>
      <c r="AJ43" s="41">
        <v>43328</v>
      </c>
      <c r="AK43" s="42">
        <v>43312</v>
      </c>
      <c r="AM43" s="43" t="s">
        <v>425</v>
      </c>
    </row>
    <row r="44" spans="1:39" s="7" customFormat="1" x14ac:dyDescent="0.25">
      <c r="A44" s="7" t="str">
        <f>+MID(Tabla1[[#This Row],[N° Decreto
Expansión]],1,4)</f>
        <v>2017</v>
      </c>
      <c r="B44" s="7" t="str">
        <f>+RIGHT(Tabla1[[#This Row],[N° Decreto
Expansión]],3)</f>
        <v>418</v>
      </c>
      <c r="C44" s="32" t="s">
        <v>306</v>
      </c>
      <c r="D44" s="7" t="s">
        <v>307</v>
      </c>
      <c r="E44" s="7" t="s">
        <v>17</v>
      </c>
      <c r="F44" s="7" t="s">
        <v>308</v>
      </c>
      <c r="G44" s="7" t="s">
        <v>309</v>
      </c>
      <c r="H44" s="7" t="s">
        <v>310</v>
      </c>
      <c r="I44" s="7" t="s">
        <v>311</v>
      </c>
      <c r="J44" s="7">
        <v>1</v>
      </c>
      <c r="K44" s="33" t="s">
        <v>312</v>
      </c>
      <c r="L44" s="7" t="s">
        <v>408</v>
      </c>
      <c r="M44" s="7" t="s">
        <v>408</v>
      </c>
      <c r="N44" s="7" t="s">
        <v>426</v>
      </c>
      <c r="O44" s="7" t="s">
        <v>175</v>
      </c>
      <c r="P44" s="7" t="s">
        <v>311</v>
      </c>
      <c r="Q44" s="34">
        <v>43287</v>
      </c>
      <c r="R44" s="35" t="s">
        <v>316</v>
      </c>
      <c r="S44" s="34">
        <v>43673</v>
      </c>
      <c r="T44" s="36">
        <v>1.8645465072108443</v>
      </c>
      <c r="U44" s="33">
        <v>18</v>
      </c>
      <c r="V44" s="37">
        <v>3038505.5097613879</v>
      </c>
      <c r="W44" s="37">
        <f>Tabla1[[#This Row],[V.I. Adj]]/1000000</f>
        <v>3.038505509761388</v>
      </c>
      <c r="X44" s="38" t="s">
        <v>317</v>
      </c>
      <c r="Y44" s="38" t="s">
        <v>317</v>
      </c>
      <c r="Z44" s="38" t="s">
        <v>317</v>
      </c>
      <c r="AA44" s="38" t="s">
        <v>317</v>
      </c>
      <c r="AB44" s="38" t="s">
        <v>317</v>
      </c>
      <c r="AC44" s="7" t="s">
        <v>102</v>
      </c>
      <c r="AD44" s="39" t="s">
        <v>317</v>
      </c>
      <c r="AE44" s="39" t="s">
        <v>317</v>
      </c>
      <c r="AF44" s="7" t="s">
        <v>1156</v>
      </c>
      <c r="AG44" s="40" t="s">
        <v>319</v>
      </c>
      <c r="AH44" s="41">
        <v>42936</v>
      </c>
      <c r="AI44" s="41">
        <v>42966</v>
      </c>
      <c r="AJ44" s="41">
        <v>43333</v>
      </c>
      <c r="AK44" s="42">
        <v>43312</v>
      </c>
      <c r="AM44" s="43" t="s">
        <v>427</v>
      </c>
    </row>
    <row r="45" spans="1:39" s="7" customFormat="1" x14ac:dyDescent="0.25">
      <c r="A45" s="7" t="str">
        <f>+MID(Tabla1[[#This Row],[N° Decreto
Expansión]],1,4)</f>
        <v>2017</v>
      </c>
      <c r="B45" s="7" t="str">
        <f>+RIGHT(Tabla1[[#This Row],[N° Decreto
Expansión]],3)</f>
        <v>418</v>
      </c>
      <c r="C45" s="32" t="s">
        <v>306</v>
      </c>
      <c r="D45" s="7" t="s">
        <v>307</v>
      </c>
      <c r="E45" s="7" t="s">
        <v>17</v>
      </c>
      <c r="F45" s="7" t="s">
        <v>308</v>
      </c>
      <c r="G45" s="7" t="s">
        <v>309</v>
      </c>
      <c r="H45" s="7" t="s">
        <v>310</v>
      </c>
      <c r="I45" s="7" t="s">
        <v>311</v>
      </c>
      <c r="J45" s="7">
        <v>1</v>
      </c>
      <c r="K45" s="33" t="s">
        <v>312</v>
      </c>
      <c r="L45" s="7" t="s">
        <v>408</v>
      </c>
      <c r="M45" s="7" t="s">
        <v>408</v>
      </c>
      <c r="N45" s="7" t="s">
        <v>428</v>
      </c>
      <c r="O45" s="7" t="s">
        <v>175</v>
      </c>
      <c r="P45" s="7" t="s">
        <v>311</v>
      </c>
      <c r="Q45" s="34">
        <v>43287</v>
      </c>
      <c r="R45" s="35" t="s">
        <v>316</v>
      </c>
      <c r="S45" s="34">
        <v>43673</v>
      </c>
      <c r="T45" s="36">
        <v>0.64305666470283096</v>
      </c>
      <c r="U45" s="33">
        <v>18</v>
      </c>
      <c r="V45" s="37">
        <v>1047939.1161506606</v>
      </c>
      <c r="W45" s="37">
        <f>Tabla1[[#This Row],[V.I. Adj]]/1000000</f>
        <v>1.0479391161506606</v>
      </c>
      <c r="X45" s="38" t="s">
        <v>317</v>
      </c>
      <c r="Y45" s="38" t="s">
        <v>317</v>
      </c>
      <c r="Z45" s="38" t="s">
        <v>317</v>
      </c>
      <c r="AA45" s="38" t="s">
        <v>317</v>
      </c>
      <c r="AB45" s="38" t="s">
        <v>317</v>
      </c>
      <c r="AC45" s="7" t="s">
        <v>34</v>
      </c>
      <c r="AD45" s="39" t="s">
        <v>317</v>
      </c>
      <c r="AE45" s="39" t="s">
        <v>317</v>
      </c>
      <c r="AF45" s="7" t="s">
        <v>1157</v>
      </c>
      <c r="AG45" s="40" t="s">
        <v>319</v>
      </c>
      <c r="AH45" s="41">
        <v>42936</v>
      </c>
      <c r="AI45" s="41">
        <v>42966</v>
      </c>
      <c r="AJ45" s="41">
        <v>43287</v>
      </c>
      <c r="AK45" s="42">
        <v>43312</v>
      </c>
      <c r="AM45" s="43" t="s">
        <v>429</v>
      </c>
    </row>
    <row r="46" spans="1:39" s="7" customFormat="1" x14ac:dyDescent="0.25">
      <c r="A46" s="7" t="str">
        <f>+MID(Tabla1[[#This Row],[N° Decreto
Expansión]],1,4)</f>
        <v>2017</v>
      </c>
      <c r="B46" s="7" t="str">
        <f>+RIGHT(Tabla1[[#This Row],[N° Decreto
Expansión]],3)</f>
        <v>418</v>
      </c>
      <c r="C46" s="32" t="s">
        <v>306</v>
      </c>
      <c r="D46" s="7" t="s">
        <v>307</v>
      </c>
      <c r="E46" s="7" t="s">
        <v>17</v>
      </c>
      <c r="F46" s="7" t="s">
        <v>308</v>
      </c>
      <c r="G46" s="7" t="s">
        <v>309</v>
      </c>
      <c r="H46" s="7" t="s">
        <v>310</v>
      </c>
      <c r="I46" s="7" t="s">
        <v>311</v>
      </c>
      <c r="J46" s="7">
        <v>1</v>
      </c>
      <c r="K46" s="33" t="s">
        <v>312</v>
      </c>
      <c r="L46" s="7" t="s">
        <v>408</v>
      </c>
      <c r="M46" s="7" t="s">
        <v>408</v>
      </c>
      <c r="N46" s="7" t="s">
        <v>430</v>
      </c>
      <c r="O46" s="7" t="s">
        <v>175</v>
      </c>
      <c r="P46" s="7" t="s">
        <v>311</v>
      </c>
      <c r="Q46" s="34">
        <v>43287</v>
      </c>
      <c r="R46" s="35" t="s">
        <v>316</v>
      </c>
      <c r="S46" s="34">
        <v>43673</v>
      </c>
      <c r="T46" s="36">
        <v>0.9206198379353544</v>
      </c>
      <c r="U46" s="33">
        <v>18</v>
      </c>
      <c r="V46" s="37">
        <v>1500262.0954446855</v>
      </c>
      <c r="W46" s="37">
        <f>Tabla1[[#This Row],[V.I. Adj]]/1000000</f>
        <v>1.5002620954446855</v>
      </c>
      <c r="X46" s="38" t="s">
        <v>317</v>
      </c>
      <c r="Y46" s="38" t="s">
        <v>317</v>
      </c>
      <c r="Z46" s="38" t="s">
        <v>317</v>
      </c>
      <c r="AA46" s="38" t="s">
        <v>317</v>
      </c>
      <c r="AB46" s="38" t="s">
        <v>317</v>
      </c>
      <c r="AC46" s="7" t="s">
        <v>102</v>
      </c>
      <c r="AD46" s="39" t="s">
        <v>317</v>
      </c>
      <c r="AE46" s="39" t="s">
        <v>317</v>
      </c>
      <c r="AF46" s="7" t="s">
        <v>1158</v>
      </c>
      <c r="AG46" s="40" t="s">
        <v>319</v>
      </c>
      <c r="AH46" s="41">
        <v>42936</v>
      </c>
      <c r="AI46" s="41">
        <v>42966</v>
      </c>
      <c r="AJ46" s="41">
        <v>43333</v>
      </c>
      <c r="AK46" s="42">
        <v>43312</v>
      </c>
      <c r="AM46" s="43" t="s">
        <v>431</v>
      </c>
    </row>
    <row r="47" spans="1:39" s="7" customFormat="1" x14ac:dyDescent="0.25">
      <c r="A47" s="7" t="str">
        <f>+MID(Tabla1[[#This Row],[N° Decreto
Expansión]],1,4)</f>
        <v>2017</v>
      </c>
      <c r="B47" s="7" t="str">
        <f>+RIGHT(Tabla1[[#This Row],[N° Decreto
Expansión]],3)</f>
        <v>418</v>
      </c>
      <c r="C47" s="32" t="s">
        <v>306</v>
      </c>
      <c r="D47" s="7" t="s">
        <v>307</v>
      </c>
      <c r="E47" s="7" t="s">
        <v>17</v>
      </c>
      <c r="F47" s="7" t="s">
        <v>308</v>
      </c>
      <c r="G47" s="45" t="s">
        <v>309</v>
      </c>
      <c r="H47" s="7" t="s">
        <v>310</v>
      </c>
      <c r="I47" s="7" t="s">
        <v>363</v>
      </c>
      <c r="J47" s="7">
        <v>3</v>
      </c>
      <c r="K47" s="33" t="s">
        <v>312</v>
      </c>
      <c r="L47" s="7" t="s">
        <v>432</v>
      </c>
      <c r="M47" s="7" t="s">
        <v>432</v>
      </c>
      <c r="N47" s="7" t="s">
        <v>433</v>
      </c>
      <c r="O47" s="7" t="s">
        <v>399</v>
      </c>
      <c r="P47" s="7" t="s">
        <v>363</v>
      </c>
      <c r="Q47" s="34">
        <v>44005</v>
      </c>
      <c r="R47" s="33" t="s">
        <v>317</v>
      </c>
      <c r="S47" s="33" t="s">
        <v>317</v>
      </c>
      <c r="T47" s="36">
        <v>2.4652271149316105</v>
      </c>
      <c r="U47" s="33">
        <v>18</v>
      </c>
      <c r="V47" s="37">
        <v>3925256.2225844297</v>
      </c>
      <c r="W47" s="37">
        <f>Tabla1[[#This Row],[V.I. Adj]]/1000000</f>
        <v>3.9252562225844296</v>
      </c>
      <c r="X47" s="48" t="s">
        <v>317</v>
      </c>
      <c r="Y47" s="48" t="s">
        <v>317</v>
      </c>
      <c r="Z47" s="48" t="s">
        <v>317</v>
      </c>
      <c r="AA47" s="48" t="s">
        <v>317</v>
      </c>
      <c r="AB47" s="48" t="s">
        <v>317</v>
      </c>
      <c r="AC47" s="7" t="s">
        <v>27</v>
      </c>
      <c r="AD47" s="39" t="s">
        <v>317</v>
      </c>
      <c r="AE47" s="39" t="s">
        <v>317</v>
      </c>
      <c r="AF47" s="7" t="s">
        <v>1159</v>
      </c>
      <c r="AG47" s="50">
        <v>418</v>
      </c>
      <c r="AH47" s="41">
        <v>42936</v>
      </c>
      <c r="AI47" s="41">
        <v>42966</v>
      </c>
      <c r="AJ47" s="49" t="s">
        <v>317</v>
      </c>
      <c r="AK47" s="49" t="s">
        <v>317</v>
      </c>
      <c r="AM47" s="43" t="s">
        <v>434</v>
      </c>
    </row>
    <row r="48" spans="1:39" s="7" customFormat="1" x14ac:dyDescent="0.25">
      <c r="A48" s="7" t="str">
        <f>+MID(Tabla1[[#This Row],[N° Decreto
Expansión]],1,4)</f>
        <v>2017</v>
      </c>
      <c r="B48" s="7" t="str">
        <f>+RIGHT(Tabla1[[#This Row],[N° Decreto
Expansión]],3)</f>
        <v>418</v>
      </c>
      <c r="C48" s="32" t="s">
        <v>306</v>
      </c>
      <c r="D48" s="7" t="s">
        <v>307</v>
      </c>
      <c r="E48" s="7" t="s">
        <v>17</v>
      </c>
      <c r="F48" s="7" t="s">
        <v>308</v>
      </c>
      <c r="G48" s="45" t="s">
        <v>309</v>
      </c>
      <c r="H48" s="7" t="s">
        <v>310</v>
      </c>
      <c r="I48" s="7" t="s">
        <v>363</v>
      </c>
      <c r="J48" s="7">
        <v>3</v>
      </c>
      <c r="K48" s="33" t="s">
        <v>312</v>
      </c>
      <c r="L48" s="7" t="s">
        <v>408</v>
      </c>
      <c r="M48" s="7" t="s">
        <v>408</v>
      </c>
      <c r="N48" s="7" t="s">
        <v>435</v>
      </c>
      <c r="O48" s="7" t="s">
        <v>399</v>
      </c>
      <c r="P48" s="7" t="s">
        <v>363</v>
      </c>
      <c r="Q48" s="34">
        <v>44005</v>
      </c>
      <c r="R48" s="33" t="s">
        <v>317</v>
      </c>
      <c r="S48" s="33" t="s">
        <v>317</v>
      </c>
      <c r="T48" s="36">
        <v>0.51486909233208544</v>
      </c>
      <c r="U48" s="33">
        <v>24</v>
      </c>
      <c r="V48" s="37">
        <v>819799.96741557063</v>
      </c>
      <c r="W48" s="37">
        <f>Tabla1[[#This Row],[V.I. Adj]]/1000000</f>
        <v>0.8197999674155706</v>
      </c>
      <c r="X48" s="48" t="s">
        <v>317</v>
      </c>
      <c r="Y48" s="48" t="s">
        <v>317</v>
      </c>
      <c r="Z48" s="48" t="s">
        <v>317</v>
      </c>
      <c r="AA48" s="48" t="s">
        <v>317</v>
      </c>
      <c r="AB48" s="48" t="s">
        <v>317</v>
      </c>
      <c r="AC48" s="7" t="s">
        <v>27</v>
      </c>
      <c r="AD48" s="39" t="s">
        <v>317</v>
      </c>
      <c r="AE48" s="39" t="s">
        <v>317</v>
      </c>
      <c r="AF48" s="7" t="s">
        <v>1160</v>
      </c>
      <c r="AG48" s="50">
        <v>418</v>
      </c>
      <c r="AH48" s="41">
        <v>42936</v>
      </c>
      <c r="AI48" s="41">
        <v>42966</v>
      </c>
      <c r="AJ48" s="49" t="s">
        <v>317</v>
      </c>
      <c r="AK48" s="49" t="s">
        <v>317</v>
      </c>
      <c r="AM48" s="43" t="s">
        <v>436</v>
      </c>
    </row>
    <row r="49" spans="1:39" s="7" customFormat="1" x14ac:dyDescent="0.25">
      <c r="A49" s="7" t="str">
        <f>+MID(Tabla1[[#This Row],[N° Decreto
Expansión]],1,4)</f>
        <v>2017</v>
      </c>
      <c r="B49" s="7" t="str">
        <f>+RIGHT(Tabla1[[#This Row],[N° Decreto
Expansión]],3)</f>
        <v>418</v>
      </c>
      <c r="C49" s="32" t="s">
        <v>306</v>
      </c>
      <c r="D49" s="7" t="s">
        <v>307</v>
      </c>
      <c r="E49" s="7" t="s">
        <v>17</v>
      </c>
      <c r="F49" s="7" t="s">
        <v>308</v>
      </c>
      <c r="G49" s="45" t="s">
        <v>309</v>
      </c>
      <c r="H49" s="7" t="s">
        <v>310</v>
      </c>
      <c r="I49" s="7" t="s">
        <v>363</v>
      </c>
      <c r="J49" s="7">
        <v>3</v>
      </c>
      <c r="K49" s="33" t="s">
        <v>312</v>
      </c>
      <c r="L49" s="7" t="s">
        <v>408</v>
      </c>
      <c r="M49" s="7" t="s">
        <v>408</v>
      </c>
      <c r="N49" s="7" t="s">
        <v>437</v>
      </c>
      <c r="O49" s="7" t="s">
        <v>206</v>
      </c>
      <c r="P49" s="7" t="s">
        <v>363</v>
      </c>
      <c r="Q49" s="34">
        <v>44005</v>
      </c>
      <c r="R49" s="33" t="s">
        <v>317</v>
      </c>
      <c r="S49" s="33" t="s">
        <v>317</v>
      </c>
      <c r="T49" s="36">
        <v>0.80090747696102171</v>
      </c>
      <c r="U49" s="33">
        <v>18</v>
      </c>
      <c r="V49" s="37">
        <v>2146233.0470219431</v>
      </c>
      <c r="W49" s="37">
        <f>Tabla1[[#This Row],[V.I. Adj]]/1000000</f>
        <v>2.1462330470219433</v>
      </c>
      <c r="X49" s="48" t="s">
        <v>317</v>
      </c>
      <c r="Y49" s="48" t="s">
        <v>317</v>
      </c>
      <c r="Z49" s="48" t="s">
        <v>317</v>
      </c>
      <c r="AA49" s="48" t="s">
        <v>317</v>
      </c>
      <c r="AB49" s="48" t="s">
        <v>317</v>
      </c>
      <c r="AC49" s="7" t="s">
        <v>103</v>
      </c>
      <c r="AD49" s="39" t="s">
        <v>317</v>
      </c>
      <c r="AE49" s="39" t="s">
        <v>317</v>
      </c>
      <c r="AF49" s="7" t="s">
        <v>1161</v>
      </c>
      <c r="AG49" s="50">
        <v>418</v>
      </c>
      <c r="AH49" s="41">
        <v>42936</v>
      </c>
      <c r="AI49" s="41">
        <v>42966</v>
      </c>
      <c r="AJ49" s="49" t="s">
        <v>317</v>
      </c>
      <c r="AK49" s="49" t="s">
        <v>317</v>
      </c>
      <c r="AM49" s="43" t="s">
        <v>438</v>
      </c>
    </row>
    <row r="50" spans="1:39" s="7" customFormat="1" x14ac:dyDescent="0.25">
      <c r="A50" s="7" t="str">
        <f>+MID(Tabla1[[#This Row],[N° Decreto
Expansión]],1,4)</f>
        <v>2017</v>
      </c>
      <c r="B50" s="7" t="str">
        <f>+RIGHT(Tabla1[[#This Row],[N° Decreto
Expansión]],3)</f>
        <v>418</v>
      </c>
      <c r="C50" s="32" t="s">
        <v>306</v>
      </c>
      <c r="D50" s="7" t="s">
        <v>307</v>
      </c>
      <c r="E50" s="7" t="s">
        <v>17</v>
      </c>
      <c r="F50" s="7" t="s">
        <v>308</v>
      </c>
      <c r="G50" s="45" t="s">
        <v>309</v>
      </c>
      <c r="H50" s="7" t="s">
        <v>310</v>
      </c>
      <c r="I50" s="7" t="s">
        <v>363</v>
      </c>
      <c r="J50" s="7">
        <v>3</v>
      </c>
      <c r="K50" s="33" t="s">
        <v>312</v>
      </c>
      <c r="L50" s="7" t="s">
        <v>432</v>
      </c>
      <c r="M50" s="7" t="s">
        <v>432</v>
      </c>
      <c r="N50" s="7" t="s">
        <v>439</v>
      </c>
      <c r="O50" s="7" t="s">
        <v>206</v>
      </c>
      <c r="P50" s="7" t="s">
        <v>363</v>
      </c>
      <c r="Q50" s="34">
        <v>44005</v>
      </c>
      <c r="R50" s="33" t="s">
        <v>317</v>
      </c>
      <c r="S50" s="33" t="s">
        <v>317</v>
      </c>
      <c r="T50" s="36">
        <v>0.64305666470283096</v>
      </c>
      <c r="U50" s="33">
        <v>18</v>
      </c>
      <c r="V50" s="37">
        <v>1723232.0893416926</v>
      </c>
      <c r="W50" s="37">
        <f>Tabla1[[#This Row],[V.I. Adj]]/1000000</f>
        <v>1.7232320893416926</v>
      </c>
      <c r="X50" s="48" t="s">
        <v>317</v>
      </c>
      <c r="Y50" s="48" t="s">
        <v>317</v>
      </c>
      <c r="Z50" s="48" t="s">
        <v>317</v>
      </c>
      <c r="AA50" s="48" t="s">
        <v>317</v>
      </c>
      <c r="AB50" s="48" t="s">
        <v>317</v>
      </c>
      <c r="AC50" s="7" t="s">
        <v>27</v>
      </c>
      <c r="AD50" s="39" t="s">
        <v>317</v>
      </c>
      <c r="AE50" s="39" t="s">
        <v>317</v>
      </c>
      <c r="AF50" s="7" t="s">
        <v>1162</v>
      </c>
      <c r="AG50" s="50">
        <v>418</v>
      </c>
      <c r="AH50" s="41">
        <v>42936</v>
      </c>
      <c r="AI50" s="41">
        <v>42966</v>
      </c>
      <c r="AJ50" s="49" t="s">
        <v>317</v>
      </c>
      <c r="AK50" s="49" t="s">
        <v>317</v>
      </c>
      <c r="AM50" s="43" t="s">
        <v>440</v>
      </c>
    </row>
    <row r="51" spans="1:39" s="7" customFormat="1" x14ac:dyDescent="0.25">
      <c r="A51" s="7" t="str">
        <f>+MID(Tabla1[[#This Row],[N° Decreto
Expansión]],1,4)</f>
        <v>2017</v>
      </c>
      <c r="B51" s="7" t="str">
        <f>+RIGHT(Tabla1[[#This Row],[N° Decreto
Expansión]],3)</f>
        <v>418</v>
      </c>
      <c r="C51" s="32" t="s">
        <v>306</v>
      </c>
      <c r="D51" s="7" t="s">
        <v>307</v>
      </c>
      <c r="E51" s="7" t="s">
        <v>17</v>
      </c>
      <c r="F51" s="7" t="s">
        <v>308</v>
      </c>
      <c r="G51" s="45" t="s">
        <v>309</v>
      </c>
      <c r="H51" s="7" t="s">
        <v>310</v>
      </c>
      <c r="I51" s="7" t="s">
        <v>363</v>
      </c>
      <c r="J51" s="7">
        <v>3</v>
      </c>
      <c r="K51" s="33" t="s">
        <v>312</v>
      </c>
      <c r="L51" s="7" t="s">
        <v>432</v>
      </c>
      <c r="M51" s="7" t="s">
        <v>432</v>
      </c>
      <c r="N51" s="7" t="s">
        <v>441</v>
      </c>
      <c r="O51" s="7" t="s">
        <v>206</v>
      </c>
      <c r="P51" s="7" t="s">
        <v>363</v>
      </c>
      <c r="Q51" s="34">
        <v>44005</v>
      </c>
      <c r="R51" s="33" t="s">
        <v>317</v>
      </c>
      <c r="S51" s="33" t="s">
        <v>317</v>
      </c>
      <c r="T51" s="36">
        <v>1.2596282937918717</v>
      </c>
      <c r="U51" s="33">
        <v>18</v>
      </c>
      <c r="V51" s="37">
        <v>3375490.8636363642</v>
      </c>
      <c r="W51" s="37">
        <f>Tabla1[[#This Row],[V.I. Adj]]/1000000</f>
        <v>3.3754908636363643</v>
      </c>
      <c r="X51" s="48" t="s">
        <v>317</v>
      </c>
      <c r="Y51" s="48" t="s">
        <v>317</v>
      </c>
      <c r="Z51" s="48" t="s">
        <v>317</v>
      </c>
      <c r="AA51" s="48" t="s">
        <v>317</v>
      </c>
      <c r="AB51" s="48" t="s">
        <v>317</v>
      </c>
      <c r="AC51" s="7" t="s">
        <v>103</v>
      </c>
      <c r="AD51" s="39" t="s">
        <v>317</v>
      </c>
      <c r="AE51" s="39" t="s">
        <v>317</v>
      </c>
      <c r="AF51" s="7" t="s">
        <v>1163</v>
      </c>
      <c r="AG51" s="50">
        <v>418</v>
      </c>
      <c r="AH51" s="41">
        <v>42936</v>
      </c>
      <c r="AI51" s="41">
        <v>42966</v>
      </c>
      <c r="AJ51" s="49" t="s">
        <v>317</v>
      </c>
      <c r="AK51" s="49" t="s">
        <v>317</v>
      </c>
      <c r="AM51" s="43" t="s">
        <v>442</v>
      </c>
    </row>
    <row r="52" spans="1:39" s="7" customFormat="1" x14ac:dyDescent="0.25">
      <c r="A52" s="7" t="str">
        <f>+MID(Tabla1[[#This Row],[N° Decreto
Expansión]],1,4)</f>
        <v>2017</v>
      </c>
      <c r="B52" s="7" t="str">
        <f>+RIGHT(Tabla1[[#This Row],[N° Decreto
Expansión]],3)</f>
        <v>418</v>
      </c>
      <c r="C52" s="32" t="s">
        <v>306</v>
      </c>
      <c r="D52" s="7" t="s">
        <v>307</v>
      </c>
      <c r="E52" s="7" t="s">
        <v>17</v>
      </c>
      <c r="F52" s="7" t="s">
        <v>308</v>
      </c>
      <c r="G52" s="45" t="s">
        <v>309</v>
      </c>
      <c r="H52" s="7" t="s">
        <v>310</v>
      </c>
      <c r="I52" s="7" t="s">
        <v>363</v>
      </c>
      <c r="J52" s="7">
        <v>3</v>
      </c>
      <c r="K52" s="33" t="s">
        <v>312</v>
      </c>
      <c r="L52" s="7" t="s">
        <v>443</v>
      </c>
      <c r="M52" s="7" t="s">
        <v>443</v>
      </c>
      <c r="N52" s="7" t="s">
        <v>444</v>
      </c>
      <c r="O52" s="7" t="s">
        <v>445</v>
      </c>
      <c r="P52" s="7" t="s">
        <v>363</v>
      </c>
      <c r="Q52" s="34">
        <v>44005</v>
      </c>
      <c r="R52" s="33" t="s">
        <v>317</v>
      </c>
      <c r="S52" s="33" t="s">
        <v>317</v>
      </c>
      <c r="T52" s="36">
        <v>3.2481247676752552</v>
      </c>
      <c r="U52" s="33">
        <v>18</v>
      </c>
      <c r="V52" s="37">
        <v>3354809.93</v>
      </c>
      <c r="W52" s="37">
        <f>Tabla1[[#This Row],[V.I. Adj]]/1000000</f>
        <v>3.3548099300000001</v>
      </c>
      <c r="X52" s="48" t="s">
        <v>317</v>
      </c>
      <c r="Y52" s="48" t="s">
        <v>317</v>
      </c>
      <c r="Z52" s="48" t="s">
        <v>317</v>
      </c>
      <c r="AA52" s="48" t="s">
        <v>317</v>
      </c>
      <c r="AB52" s="48" t="s">
        <v>317</v>
      </c>
      <c r="AC52" s="7" t="s">
        <v>27</v>
      </c>
      <c r="AD52" s="39" t="s">
        <v>317</v>
      </c>
      <c r="AE52" s="39" t="s">
        <v>317</v>
      </c>
      <c r="AF52" s="7" t="s">
        <v>1164</v>
      </c>
      <c r="AG52" s="50">
        <v>418</v>
      </c>
      <c r="AH52" s="41">
        <v>42936</v>
      </c>
      <c r="AI52" s="41">
        <v>42966</v>
      </c>
      <c r="AJ52" s="49" t="s">
        <v>317</v>
      </c>
      <c r="AK52" s="49" t="s">
        <v>317</v>
      </c>
      <c r="AM52" s="43" t="s">
        <v>446</v>
      </c>
    </row>
    <row r="53" spans="1:39" s="7" customFormat="1" x14ac:dyDescent="0.25">
      <c r="A53" s="7" t="str">
        <f>+MID(Tabla1[[#This Row],[N° Decreto
Expansión]],1,4)</f>
        <v>2017</v>
      </c>
      <c r="B53" s="7" t="str">
        <f>+RIGHT(Tabla1[[#This Row],[N° Decreto
Expansión]],3)</f>
        <v>418</v>
      </c>
      <c r="C53" s="32" t="s">
        <v>306</v>
      </c>
      <c r="D53" s="7" t="s">
        <v>307</v>
      </c>
      <c r="E53" s="7" t="s">
        <v>17</v>
      </c>
      <c r="F53" s="7" t="s">
        <v>308</v>
      </c>
      <c r="G53" s="45" t="s">
        <v>309</v>
      </c>
      <c r="H53" s="7" t="s">
        <v>310</v>
      </c>
      <c r="I53" s="7" t="s">
        <v>363</v>
      </c>
      <c r="J53" s="7">
        <v>3</v>
      </c>
      <c r="K53" s="33" t="s">
        <v>33</v>
      </c>
      <c r="L53" s="52" t="s">
        <v>432</v>
      </c>
      <c r="M53" s="7" t="s">
        <v>447</v>
      </c>
      <c r="N53" s="7" t="s">
        <v>448</v>
      </c>
      <c r="O53" s="7" t="s">
        <v>205</v>
      </c>
      <c r="P53" s="7" t="s">
        <v>363</v>
      </c>
      <c r="Q53" s="34">
        <v>44005</v>
      </c>
      <c r="R53" s="33" t="s">
        <v>317</v>
      </c>
      <c r="S53" s="33" t="s">
        <v>317</v>
      </c>
      <c r="T53" s="36">
        <v>2.596592891576011</v>
      </c>
      <c r="U53" s="33">
        <v>24</v>
      </c>
      <c r="V53" s="37">
        <v>11042274.01356443</v>
      </c>
      <c r="W53" s="37">
        <f>Tabla1[[#This Row],[V.I. Adj]]/1000000</f>
        <v>11.04227401356443</v>
      </c>
      <c r="X53" s="48" t="s">
        <v>317</v>
      </c>
      <c r="Y53" s="48" t="s">
        <v>317</v>
      </c>
      <c r="Z53" s="48" t="s">
        <v>317</v>
      </c>
      <c r="AA53" s="48" t="s">
        <v>317</v>
      </c>
      <c r="AB53" s="48" t="s">
        <v>317</v>
      </c>
      <c r="AC53" s="7" t="s">
        <v>34</v>
      </c>
      <c r="AD53" s="39" t="s">
        <v>317</v>
      </c>
      <c r="AE53" s="39" t="s">
        <v>317</v>
      </c>
      <c r="AF53" s="7" t="s">
        <v>1165</v>
      </c>
      <c r="AG53" s="50">
        <v>418</v>
      </c>
      <c r="AH53" s="41">
        <v>42936</v>
      </c>
      <c r="AI53" s="41">
        <v>42966</v>
      </c>
      <c r="AJ53" s="49" t="s">
        <v>317</v>
      </c>
      <c r="AK53" s="49" t="s">
        <v>317</v>
      </c>
      <c r="AM53" s="43" t="s">
        <v>449</v>
      </c>
    </row>
    <row r="54" spans="1:39" s="7" customFormat="1" x14ac:dyDescent="0.25">
      <c r="A54" s="7" t="str">
        <f>+MID(Tabla1[[#This Row],[N° Decreto
Expansión]],1,4)</f>
        <v>2017</v>
      </c>
      <c r="B54" s="7" t="str">
        <f>+RIGHT(Tabla1[[#This Row],[N° Decreto
Expansión]],3)</f>
        <v>418</v>
      </c>
      <c r="C54" s="32" t="s">
        <v>306</v>
      </c>
      <c r="D54" s="7" t="s">
        <v>307</v>
      </c>
      <c r="E54" s="7" t="s">
        <v>17</v>
      </c>
      <c r="F54" s="7" t="s">
        <v>308</v>
      </c>
      <c r="G54" s="45" t="s">
        <v>309</v>
      </c>
      <c r="H54" s="7" t="s">
        <v>310</v>
      </c>
      <c r="I54" s="7" t="s">
        <v>363</v>
      </c>
      <c r="J54" s="7">
        <v>3</v>
      </c>
      <c r="K54" s="33" t="s">
        <v>312</v>
      </c>
      <c r="L54" s="7" t="s">
        <v>432</v>
      </c>
      <c r="M54" s="7" t="s">
        <v>432</v>
      </c>
      <c r="N54" s="7" t="s">
        <v>450</v>
      </c>
      <c r="O54" s="7" t="s">
        <v>205</v>
      </c>
      <c r="P54" s="7" t="s">
        <v>363</v>
      </c>
      <c r="Q54" s="34">
        <v>44005</v>
      </c>
      <c r="R54" s="33" t="s">
        <v>317</v>
      </c>
      <c r="S54" s="33" t="s">
        <v>317</v>
      </c>
      <c r="T54" s="36">
        <v>0.21505848918397805</v>
      </c>
      <c r="U54" s="33">
        <v>24</v>
      </c>
      <c r="V54" s="37">
        <v>914557.98643556878</v>
      </c>
      <c r="W54" s="37">
        <f>Tabla1[[#This Row],[V.I. Adj]]/1000000</f>
        <v>0.91455798643556874</v>
      </c>
      <c r="X54" s="48" t="s">
        <v>317</v>
      </c>
      <c r="Y54" s="48" t="s">
        <v>317</v>
      </c>
      <c r="Z54" s="48" t="s">
        <v>317</v>
      </c>
      <c r="AA54" s="48" t="s">
        <v>317</v>
      </c>
      <c r="AB54" s="48" t="s">
        <v>317</v>
      </c>
      <c r="AC54" s="7" t="s">
        <v>27</v>
      </c>
      <c r="AD54" s="39" t="s">
        <v>317</v>
      </c>
      <c r="AE54" s="39" t="s">
        <v>317</v>
      </c>
      <c r="AF54" s="7" t="s">
        <v>1166</v>
      </c>
      <c r="AG54" s="50">
        <v>418</v>
      </c>
      <c r="AH54" s="41">
        <v>42936</v>
      </c>
      <c r="AI54" s="41">
        <v>42966</v>
      </c>
      <c r="AJ54" s="49" t="s">
        <v>317</v>
      </c>
      <c r="AK54" s="49" t="s">
        <v>317</v>
      </c>
      <c r="AM54" s="43" t="s">
        <v>451</v>
      </c>
    </row>
    <row r="55" spans="1:39" s="7" customFormat="1" x14ac:dyDescent="0.25">
      <c r="A55" s="7" t="str">
        <f>+MID(Tabla1[[#This Row],[N° Decreto
Expansión]],1,4)</f>
        <v>2017</v>
      </c>
      <c r="B55" s="7" t="str">
        <f>+RIGHT(Tabla1[[#This Row],[N° Decreto
Expansión]],3)</f>
        <v>418</v>
      </c>
      <c r="C55" s="32" t="s">
        <v>306</v>
      </c>
      <c r="D55" s="7" t="s">
        <v>307</v>
      </c>
      <c r="E55" s="7" t="s">
        <v>17</v>
      </c>
      <c r="F55" s="7" t="s">
        <v>308</v>
      </c>
      <c r="G55" s="7" t="s">
        <v>309</v>
      </c>
      <c r="H55" s="7" t="s">
        <v>310</v>
      </c>
      <c r="I55" s="7" t="s">
        <v>311</v>
      </c>
      <c r="J55" s="7">
        <v>1</v>
      </c>
      <c r="K55" s="33" t="s">
        <v>312</v>
      </c>
      <c r="L55" s="7" t="s">
        <v>443</v>
      </c>
      <c r="M55" s="7" t="s">
        <v>443</v>
      </c>
      <c r="N55" s="7" t="s">
        <v>452</v>
      </c>
      <c r="O55" s="7" t="s">
        <v>453</v>
      </c>
      <c r="P55" s="7" t="s">
        <v>311</v>
      </c>
      <c r="Q55" s="34">
        <v>43287</v>
      </c>
      <c r="R55" s="35" t="s">
        <v>316</v>
      </c>
      <c r="S55" s="34">
        <v>43673</v>
      </c>
      <c r="T55" s="36">
        <v>1.3284893863877267</v>
      </c>
      <c r="U55" s="33">
        <v>18</v>
      </c>
      <c r="V55" s="37">
        <v>2085162.2884953676</v>
      </c>
      <c r="W55" s="37">
        <f>Tabla1[[#This Row],[V.I. Adj]]/1000000</f>
        <v>2.0851622884953676</v>
      </c>
      <c r="X55" s="38" t="s">
        <v>317</v>
      </c>
      <c r="Y55" s="38" t="s">
        <v>317</v>
      </c>
      <c r="Z55" s="38" t="s">
        <v>317</v>
      </c>
      <c r="AA55" s="38" t="s">
        <v>317</v>
      </c>
      <c r="AB55" s="38" t="s">
        <v>317</v>
      </c>
      <c r="AC55" s="7" t="s">
        <v>27</v>
      </c>
      <c r="AD55" s="39" t="s">
        <v>317</v>
      </c>
      <c r="AE55" s="39" t="s">
        <v>317</v>
      </c>
      <c r="AF55" s="7" t="s">
        <v>1167</v>
      </c>
      <c r="AG55" s="40" t="s">
        <v>319</v>
      </c>
      <c r="AH55" s="41">
        <v>42936</v>
      </c>
      <c r="AI55" s="41">
        <v>42966</v>
      </c>
      <c r="AJ55" s="41">
        <v>43332</v>
      </c>
      <c r="AK55" s="42">
        <v>43312</v>
      </c>
      <c r="AM55" s="43" t="s">
        <v>454</v>
      </c>
    </row>
    <row r="56" spans="1:39" s="7" customFormat="1" x14ac:dyDescent="0.25">
      <c r="A56" s="7" t="str">
        <f>+MID(Tabla1[[#This Row],[N° Decreto
Expansión]],1,4)</f>
        <v>2017</v>
      </c>
      <c r="B56" s="7" t="str">
        <f>+RIGHT(Tabla1[[#This Row],[N° Decreto
Expansión]],3)</f>
        <v>418</v>
      </c>
      <c r="C56" s="32" t="s">
        <v>306</v>
      </c>
      <c r="D56" s="7" t="s">
        <v>307</v>
      </c>
      <c r="E56" s="7" t="s">
        <v>17</v>
      </c>
      <c r="F56" s="7" t="s">
        <v>308</v>
      </c>
      <c r="G56" s="7" t="s">
        <v>309</v>
      </c>
      <c r="H56" s="7" t="s">
        <v>310</v>
      </c>
      <c r="I56" s="7" t="s">
        <v>311</v>
      </c>
      <c r="J56" s="7">
        <v>1</v>
      </c>
      <c r="K56" s="33" t="s">
        <v>312</v>
      </c>
      <c r="L56" s="7" t="s">
        <v>443</v>
      </c>
      <c r="M56" s="7" t="s">
        <v>443</v>
      </c>
      <c r="N56" s="7" t="s">
        <v>455</v>
      </c>
      <c r="O56" s="7" t="s">
        <v>453</v>
      </c>
      <c r="P56" s="7" t="s">
        <v>311</v>
      </c>
      <c r="Q56" s="34">
        <v>43287</v>
      </c>
      <c r="R56" s="35" t="s">
        <v>316</v>
      </c>
      <c r="S56" s="34">
        <v>43673</v>
      </c>
      <c r="T56" s="36">
        <v>1.1664009684313292</v>
      </c>
      <c r="U56" s="33">
        <v>18</v>
      </c>
      <c r="V56" s="37">
        <v>1830752.5355928224</v>
      </c>
      <c r="W56" s="37">
        <f>Tabla1[[#This Row],[V.I. Adj]]/1000000</f>
        <v>1.8307525355928222</v>
      </c>
      <c r="X56" s="38" t="s">
        <v>317</v>
      </c>
      <c r="Y56" s="38" t="s">
        <v>317</v>
      </c>
      <c r="Z56" s="38" t="s">
        <v>317</v>
      </c>
      <c r="AA56" s="38" t="s">
        <v>317</v>
      </c>
      <c r="AB56" s="38" t="s">
        <v>317</v>
      </c>
      <c r="AC56" s="7" t="s">
        <v>27</v>
      </c>
      <c r="AD56" s="39" t="s">
        <v>317</v>
      </c>
      <c r="AE56" s="39" t="s">
        <v>317</v>
      </c>
      <c r="AF56" s="7" t="s">
        <v>1168</v>
      </c>
      <c r="AG56" s="40" t="s">
        <v>319</v>
      </c>
      <c r="AH56" s="41">
        <v>42936</v>
      </c>
      <c r="AI56" s="41">
        <v>42966</v>
      </c>
      <c r="AJ56" s="41">
        <v>43332</v>
      </c>
      <c r="AK56" s="42">
        <v>43312</v>
      </c>
      <c r="AM56" s="43" t="s">
        <v>456</v>
      </c>
    </row>
    <row r="57" spans="1:39" s="7" customFormat="1" x14ac:dyDescent="0.25">
      <c r="A57" s="7" t="str">
        <f>+MID(Tabla1[[#This Row],[N° Decreto
Expansión]],1,4)</f>
        <v>2017</v>
      </c>
      <c r="B57" s="7" t="str">
        <f>+RIGHT(Tabla1[[#This Row],[N° Decreto
Expansión]],3)</f>
        <v>418</v>
      </c>
      <c r="C57" s="32" t="s">
        <v>306</v>
      </c>
      <c r="D57" s="7" t="s">
        <v>307</v>
      </c>
      <c r="E57" s="7" t="s">
        <v>17</v>
      </c>
      <c r="F57" s="7" t="s">
        <v>308</v>
      </c>
      <c r="G57" s="7" t="s">
        <v>309</v>
      </c>
      <c r="H57" s="7" t="s">
        <v>310</v>
      </c>
      <c r="I57" s="7" t="s">
        <v>311</v>
      </c>
      <c r="J57" s="7">
        <v>1</v>
      </c>
      <c r="K57" s="33" t="s">
        <v>312</v>
      </c>
      <c r="L57" s="7" t="s">
        <v>443</v>
      </c>
      <c r="M57" s="7" t="s">
        <v>443</v>
      </c>
      <c r="N57" s="7" t="s">
        <v>457</v>
      </c>
      <c r="O57" s="7" t="s">
        <v>453</v>
      </c>
      <c r="P57" s="7" t="s">
        <v>311</v>
      </c>
      <c r="Q57" s="34">
        <v>43287</v>
      </c>
      <c r="R57" s="35" t="s">
        <v>316</v>
      </c>
      <c r="S57" s="34">
        <v>43673</v>
      </c>
      <c r="T57" s="36">
        <v>0.48944345814284662</v>
      </c>
      <c r="U57" s="33">
        <v>24</v>
      </c>
      <c r="V57" s="37">
        <v>768217.68523513537</v>
      </c>
      <c r="W57" s="37">
        <f>Tabla1[[#This Row],[V.I. Adj]]/1000000</f>
        <v>0.76821768523513534</v>
      </c>
      <c r="X57" s="38" t="s">
        <v>317</v>
      </c>
      <c r="Y57" s="38" t="s">
        <v>317</v>
      </c>
      <c r="Z57" s="38" t="s">
        <v>317</v>
      </c>
      <c r="AA57" s="38" t="s">
        <v>317</v>
      </c>
      <c r="AB57" s="38" t="s">
        <v>317</v>
      </c>
      <c r="AC57" s="7" t="s">
        <v>27</v>
      </c>
      <c r="AD57" s="39" t="s">
        <v>317</v>
      </c>
      <c r="AE57" s="39" t="s">
        <v>317</v>
      </c>
      <c r="AF57" s="7" t="s">
        <v>1169</v>
      </c>
      <c r="AG57" s="40" t="s">
        <v>319</v>
      </c>
      <c r="AH57" s="41">
        <v>42936</v>
      </c>
      <c r="AI57" s="41">
        <v>42966</v>
      </c>
      <c r="AJ57" s="41">
        <v>43332</v>
      </c>
      <c r="AK57" s="42">
        <v>43312</v>
      </c>
      <c r="AM57" s="43" t="s">
        <v>458</v>
      </c>
    </row>
    <row r="58" spans="1:39" s="7" customFormat="1" x14ac:dyDescent="0.25">
      <c r="A58" s="7" t="str">
        <f>+MID(Tabla1[[#This Row],[N° Decreto
Expansión]],1,4)</f>
        <v>2017</v>
      </c>
      <c r="B58" s="7" t="str">
        <f>+RIGHT(Tabla1[[#This Row],[N° Decreto
Expansión]],3)</f>
        <v>418</v>
      </c>
      <c r="C58" s="32" t="s">
        <v>306</v>
      </c>
      <c r="D58" s="7" t="s">
        <v>307</v>
      </c>
      <c r="E58" s="7" t="s">
        <v>17</v>
      </c>
      <c r="F58" s="7" t="s">
        <v>308</v>
      </c>
      <c r="G58" s="7" t="s">
        <v>309</v>
      </c>
      <c r="H58" s="7" t="s">
        <v>310</v>
      </c>
      <c r="I58" s="7" t="s">
        <v>311</v>
      </c>
      <c r="J58" s="7">
        <v>1</v>
      </c>
      <c r="K58" s="33" t="s">
        <v>312</v>
      </c>
      <c r="L58" s="7" t="s">
        <v>443</v>
      </c>
      <c r="M58" s="7" t="s">
        <v>443</v>
      </c>
      <c r="N58" s="7" t="s">
        <v>459</v>
      </c>
      <c r="O58" s="7" t="s">
        <v>453</v>
      </c>
      <c r="P58" s="7" t="s">
        <v>311</v>
      </c>
      <c r="Q58" s="34">
        <v>43287</v>
      </c>
      <c r="R58" s="35" t="s">
        <v>316</v>
      </c>
      <c r="S58" s="34">
        <v>43673</v>
      </c>
      <c r="T58" s="36">
        <v>0.48944345814284662</v>
      </c>
      <c r="U58" s="33">
        <v>24</v>
      </c>
      <c r="V58" s="37">
        <v>768217.68523513537</v>
      </c>
      <c r="W58" s="37">
        <f>Tabla1[[#This Row],[V.I. Adj]]/1000000</f>
        <v>0.76821768523513534</v>
      </c>
      <c r="X58" s="38" t="s">
        <v>317</v>
      </c>
      <c r="Y58" s="38" t="s">
        <v>317</v>
      </c>
      <c r="Z58" s="38" t="s">
        <v>317</v>
      </c>
      <c r="AA58" s="38" t="s">
        <v>317</v>
      </c>
      <c r="AB58" s="38" t="s">
        <v>317</v>
      </c>
      <c r="AC58" s="7" t="s">
        <v>27</v>
      </c>
      <c r="AD58" s="39" t="s">
        <v>317</v>
      </c>
      <c r="AE58" s="39" t="s">
        <v>317</v>
      </c>
      <c r="AF58" s="7" t="s">
        <v>1170</v>
      </c>
      <c r="AG58" s="40" t="s">
        <v>319</v>
      </c>
      <c r="AH58" s="41">
        <v>42936</v>
      </c>
      <c r="AI58" s="41">
        <v>42966</v>
      </c>
      <c r="AJ58" s="41">
        <v>43332</v>
      </c>
      <c r="AK58" s="42">
        <v>43312</v>
      </c>
      <c r="AM58" s="43" t="s">
        <v>460</v>
      </c>
    </row>
    <row r="59" spans="1:39" s="7" customFormat="1" x14ac:dyDescent="0.25">
      <c r="A59" s="7" t="str">
        <f>+MID(Tabla1[[#This Row],[N° Decreto
Expansión]],1,4)</f>
        <v>2017</v>
      </c>
      <c r="B59" s="7" t="str">
        <f>+RIGHT(Tabla1[[#This Row],[N° Decreto
Expansión]],3)</f>
        <v>418</v>
      </c>
      <c r="C59" s="32" t="s">
        <v>306</v>
      </c>
      <c r="D59" s="7" t="s">
        <v>307</v>
      </c>
      <c r="E59" s="7" t="s">
        <v>17</v>
      </c>
      <c r="F59" s="7" t="s">
        <v>308</v>
      </c>
      <c r="G59" s="7" t="s">
        <v>309</v>
      </c>
      <c r="H59" s="7" t="s">
        <v>310</v>
      </c>
      <c r="I59" s="7" t="s">
        <v>311</v>
      </c>
      <c r="J59" s="7">
        <v>1</v>
      </c>
      <c r="K59" s="33" t="s">
        <v>312</v>
      </c>
      <c r="L59" s="7" t="s">
        <v>443</v>
      </c>
      <c r="M59" s="7" t="s">
        <v>443</v>
      </c>
      <c r="N59" s="7" t="s">
        <v>461</v>
      </c>
      <c r="O59" s="7" t="s">
        <v>453</v>
      </c>
      <c r="P59" s="7" t="s">
        <v>311</v>
      </c>
      <c r="Q59" s="34">
        <v>43287</v>
      </c>
      <c r="R59" s="35" t="s">
        <v>316</v>
      </c>
      <c r="S59" s="34">
        <v>43673</v>
      </c>
      <c r="T59" s="36">
        <v>5.559738676046881</v>
      </c>
      <c r="U59" s="33">
        <v>18</v>
      </c>
      <c r="V59" s="37">
        <v>8726420.8054415379</v>
      </c>
      <c r="W59" s="37">
        <f>Tabla1[[#This Row],[V.I. Adj]]/1000000</f>
        <v>8.7264208054415384</v>
      </c>
      <c r="X59" s="38" t="s">
        <v>317</v>
      </c>
      <c r="Y59" s="38" t="s">
        <v>317</v>
      </c>
      <c r="Z59" s="38" t="s">
        <v>317</v>
      </c>
      <c r="AA59" s="38" t="s">
        <v>317</v>
      </c>
      <c r="AB59" s="38" t="s">
        <v>317</v>
      </c>
      <c r="AC59" s="7" t="s">
        <v>27</v>
      </c>
      <c r="AD59" s="39" t="s">
        <v>317</v>
      </c>
      <c r="AE59" s="39" t="s">
        <v>317</v>
      </c>
      <c r="AF59" s="7" t="s">
        <v>1171</v>
      </c>
      <c r="AG59" s="40" t="s">
        <v>319</v>
      </c>
      <c r="AH59" s="41">
        <v>42936</v>
      </c>
      <c r="AI59" s="41">
        <v>42966</v>
      </c>
      <c r="AJ59" s="41">
        <v>43332</v>
      </c>
      <c r="AK59" s="42">
        <v>43312</v>
      </c>
      <c r="AM59" s="43" t="s">
        <v>462</v>
      </c>
    </row>
    <row r="60" spans="1:39" s="7" customFormat="1" x14ac:dyDescent="0.25">
      <c r="A60" s="7" t="str">
        <f>+MID(Tabla1[[#This Row],[N° Decreto
Expansión]],1,4)</f>
        <v>2017</v>
      </c>
      <c r="B60" s="7" t="str">
        <f>+RIGHT(Tabla1[[#This Row],[N° Decreto
Expansión]],3)</f>
        <v>418</v>
      </c>
      <c r="C60" s="32" t="s">
        <v>306</v>
      </c>
      <c r="D60" s="7" t="s">
        <v>307</v>
      </c>
      <c r="E60" s="7" t="s">
        <v>17</v>
      </c>
      <c r="F60" s="7" t="s">
        <v>308</v>
      </c>
      <c r="G60" s="7" t="s">
        <v>309</v>
      </c>
      <c r="H60" s="7" t="s">
        <v>310</v>
      </c>
      <c r="I60" s="7" t="s">
        <v>323</v>
      </c>
      <c r="J60" s="7">
        <v>2</v>
      </c>
      <c r="K60" s="33" t="s">
        <v>312</v>
      </c>
      <c r="L60" s="7" t="s">
        <v>463</v>
      </c>
      <c r="M60" s="7" t="s">
        <v>463</v>
      </c>
      <c r="N60" s="7" t="s">
        <v>464</v>
      </c>
      <c r="O60" s="7" t="s">
        <v>465</v>
      </c>
      <c r="P60" s="7" t="s">
        <v>323</v>
      </c>
      <c r="Q60" s="34">
        <v>43607</v>
      </c>
      <c r="R60" s="33" t="s">
        <v>317</v>
      </c>
      <c r="S60" s="33" t="s">
        <v>317</v>
      </c>
      <c r="T60" s="36">
        <v>5.061820006507622</v>
      </c>
      <c r="U60" s="33">
        <v>24</v>
      </c>
      <c r="V60" s="37">
        <v>8674973.5</v>
      </c>
      <c r="W60" s="37">
        <f>Tabla1[[#This Row],[V.I. Adj]]/1000000</f>
        <v>8.6749735000000001</v>
      </c>
      <c r="X60" s="38" t="s">
        <v>317</v>
      </c>
      <c r="Y60" s="38" t="s">
        <v>317</v>
      </c>
      <c r="Z60" s="38" t="s">
        <v>317</v>
      </c>
      <c r="AA60" s="38" t="s">
        <v>317</v>
      </c>
      <c r="AB60" s="38" t="s">
        <v>317</v>
      </c>
      <c r="AC60" s="7" t="s">
        <v>27</v>
      </c>
      <c r="AD60" s="39" t="s">
        <v>317</v>
      </c>
      <c r="AE60" s="39" t="s">
        <v>317</v>
      </c>
      <c r="AF60" s="7" t="s">
        <v>1172</v>
      </c>
      <c r="AG60" s="40" t="s">
        <v>319</v>
      </c>
      <c r="AH60" s="41">
        <v>42936</v>
      </c>
      <c r="AI60" s="41">
        <v>42966</v>
      </c>
      <c r="AJ60" s="41">
        <v>43651</v>
      </c>
      <c r="AK60" s="42">
        <v>43636</v>
      </c>
      <c r="AM60" s="43" t="s">
        <v>466</v>
      </c>
    </row>
    <row r="61" spans="1:39" s="7" customFormat="1" x14ac:dyDescent="0.25">
      <c r="A61" s="7" t="str">
        <f>+MID(Tabla1[[#This Row],[N° Decreto
Expansión]],1,4)</f>
        <v>2017</v>
      </c>
      <c r="B61" s="7" t="str">
        <f>+RIGHT(Tabla1[[#This Row],[N° Decreto
Expansión]],3)</f>
        <v>418</v>
      </c>
      <c r="C61" s="32" t="s">
        <v>306</v>
      </c>
      <c r="D61" s="7" t="s">
        <v>307</v>
      </c>
      <c r="E61" s="7" t="s">
        <v>17</v>
      </c>
      <c r="F61" s="7" t="s">
        <v>308</v>
      </c>
      <c r="G61" s="45" t="s">
        <v>309</v>
      </c>
      <c r="H61" s="7" t="s">
        <v>310</v>
      </c>
      <c r="I61" s="7" t="s">
        <v>363</v>
      </c>
      <c r="J61" s="7">
        <v>3</v>
      </c>
      <c r="K61" s="33" t="s">
        <v>312</v>
      </c>
      <c r="L61" s="7" t="s">
        <v>463</v>
      </c>
      <c r="M61" s="7" t="s">
        <v>463</v>
      </c>
      <c r="N61" s="7" t="s">
        <v>467</v>
      </c>
      <c r="O61" s="7" t="s">
        <v>445</v>
      </c>
      <c r="P61" s="7" t="s">
        <v>363</v>
      </c>
      <c r="Q61" s="34">
        <v>44005</v>
      </c>
      <c r="R61" s="33" t="s">
        <v>317</v>
      </c>
      <c r="S61" s="33" t="s">
        <v>317</v>
      </c>
      <c r="T61" s="36">
        <v>2.092317813489442</v>
      </c>
      <c r="U61" s="33">
        <v>18</v>
      </c>
      <c r="V61" s="37">
        <v>2161040.3199999998</v>
      </c>
      <c r="W61" s="37">
        <f>Tabla1[[#This Row],[V.I. Adj]]/1000000</f>
        <v>2.1610403199999997</v>
      </c>
      <c r="X61" s="48" t="s">
        <v>317</v>
      </c>
      <c r="Y61" s="48" t="s">
        <v>317</v>
      </c>
      <c r="Z61" s="48" t="s">
        <v>317</v>
      </c>
      <c r="AA61" s="48" t="s">
        <v>317</v>
      </c>
      <c r="AB61" s="48" t="s">
        <v>317</v>
      </c>
      <c r="AC61" s="7" t="s">
        <v>27</v>
      </c>
      <c r="AD61" s="39" t="s">
        <v>317</v>
      </c>
      <c r="AE61" s="39" t="s">
        <v>317</v>
      </c>
      <c r="AF61" s="7" t="s">
        <v>1173</v>
      </c>
      <c r="AG61" s="50">
        <v>418</v>
      </c>
      <c r="AH61" s="41">
        <v>42936</v>
      </c>
      <c r="AI61" s="41">
        <v>42966</v>
      </c>
      <c r="AJ61" s="49" t="s">
        <v>317</v>
      </c>
      <c r="AK61" s="49" t="s">
        <v>317</v>
      </c>
      <c r="AM61" s="43" t="s">
        <v>468</v>
      </c>
    </row>
    <row r="62" spans="1:39" s="7" customFormat="1" x14ac:dyDescent="0.25">
      <c r="A62" s="7" t="str">
        <f>+MID(Tabla1[[#This Row],[N° Decreto
Expansión]],1,4)</f>
        <v>2017</v>
      </c>
      <c r="B62" s="7" t="str">
        <f>+RIGHT(Tabla1[[#This Row],[N° Decreto
Expansión]],3)</f>
        <v>418</v>
      </c>
      <c r="C62" s="32" t="s">
        <v>306</v>
      </c>
      <c r="D62" s="7" t="s">
        <v>307</v>
      </c>
      <c r="E62" s="7" t="s">
        <v>17</v>
      </c>
      <c r="F62" s="7" t="s">
        <v>308</v>
      </c>
      <c r="G62" s="45" t="s">
        <v>309</v>
      </c>
      <c r="H62" s="7" t="s">
        <v>310</v>
      </c>
      <c r="I62" s="7" t="s">
        <v>363</v>
      </c>
      <c r="J62" s="7">
        <v>3</v>
      </c>
      <c r="K62" s="33" t="s">
        <v>312</v>
      </c>
      <c r="L62" s="7" t="s">
        <v>463</v>
      </c>
      <c r="M62" s="7" t="s">
        <v>463</v>
      </c>
      <c r="N62" s="7" t="s">
        <v>469</v>
      </c>
      <c r="O62" s="7" t="s">
        <v>445</v>
      </c>
      <c r="P62" s="7" t="s">
        <v>363</v>
      </c>
      <c r="Q62" s="34">
        <v>44005</v>
      </c>
      <c r="R62" s="33" t="s">
        <v>317</v>
      </c>
      <c r="S62" s="33" t="s">
        <v>317</v>
      </c>
      <c r="T62" s="36">
        <v>1.5763893197328047</v>
      </c>
      <c r="U62" s="33">
        <v>18</v>
      </c>
      <c r="V62" s="37">
        <v>1628166.07</v>
      </c>
      <c r="W62" s="37">
        <f>Tabla1[[#This Row],[V.I. Adj]]/1000000</f>
        <v>1.62816607</v>
      </c>
      <c r="X62" s="48" t="s">
        <v>317</v>
      </c>
      <c r="Y62" s="48" t="s">
        <v>317</v>
      </c>
      <c r="Z62" s="48" t="s">
        <v>317</v>
      </c>
      <c r="AA62" s="48" t="s">
        <v>317</v>
      </c>
      <c r="AB62" s="48" t="s">
        <v>317</v>
      </c>
      <c r="AC62" s="7" t="s">
        <v>27</v>
      </c>
      <c r="AD62" s="39" t="s">
        <v>317</v>
      </c>
      <c r="AE62" s="39" t="s">
        <v>317</v>
      </c>
      <c r="AF62" s="7" t="s">
        <v>1174</v>
      </c>
      <c r="AG62" s="50">
        <v>418</v>
      </c>
      <c r="AH62" s="41">
        <v>42936</v>
      </c>
      <c r="AI62" s="41">
        <v>42966</v>
      </c>
      <c r="AJ62" s="49" t="s">
        <v>317</v>
      </c>
      <c r="AK62" s="49" t="s">
        <v>317</v>
      </c>
      <c r="AM62" s="43" t="s">
        <v>470</v>
      </c>
    </row>
    <row r="63" spans="1:39" s="7" customFormat="1" x14ac:dyDescent="0.25">
      <c r="A63" s="7" t="str">
        <f>+MID(Tabla1[[#This Row],[N° Decreto
Expansión]],1,4)</f>
        <v>2017</v>
      </c>
      <c r="B63" s="7" t="str">
        <f>+RIGHT(Tabla1[[#This Row],[N° Decreto
Expansión]],3)</f>
        <v>418</v>
      </c>
      <c r="C63" s="32" t="s">
        <v>306</v>
      </c>
      <c r="D63" s="7" t="s">
        <v>307</v>
      </c>
      <c r="E63" s="7" t="s">
        <v>17</v>
      </c>
      <c r="F63" s="7" t="s">
        <v>308</v>
      </c>
      <c r="G63" s="45" t="s">
        <v>309</v>
      </c>
      <c r="H63" s="7" t="s">
        <v>310</v>
      </c>
      <c r="I63" s="7" t="s">
        <v>363</v>
      </c>
      <c r="J63" s="7">
        <v>3</v>
      </c>
      <c r="K63" s="33" t="s">
        <v>312</v>
      </c>
      <c r="L63" s="7" t="s">
        <v>463</v>
      </c>
      <c r="M63" s="7" t="s">
        <v>463</v>
      </c>
      <c r="N63" s="7" t="s">
        <v>471</v>
      </c>
      <c r="O63" s="7" t="s">
        <v>445</v>
      </c>
      <c r="P63" s="7" t="s">
        <v>363</v>
      </c>
      <c r="Q63" s="34">
        <v>44005</v>
      </c>
      <c r="R63" s="33" t="s">
        <v>317</v>
      </c>
      <c r="S63" s="33" t="s">
        <v>317</v>
      </c>
      <c r="T63" s="36">
        <v>1.8348832673233988</v>
      </c>
      <c r="U63" s="33">
        <v>18</v>
      </c>
      <c r="V63" s="37">
        <v>2084106.4</v>
      </c>
      <c r="W63" s="37">
        <f>Tabla1[[#This Row],[V.I. Adj]]/1000000</f>
        <v>2.0841064</v>
      </c>
      <c r="X63" s="48" t="s">
        <v>317</v>
      </c>
      <c r="Y63" s="48" t="s">
        <v>317</v>
      </c>
      <c r="Z63" s="48" t="s">
        <v>317</v>
      </c>
      <c r="AA63" s="48" t="s">
        <v>317</v>
      </c>
      <c r="AB63" s="48" t="s">
        <v>317</v>
      </c>
      <c r="AC63" s="7" t="s">
        <v>27</v>
      </c>
      <c r="AD63" s="39" t="s">
        <v>317</v>
      </c>
      <c r="AE63" s="39" t="s">
        <v>317</v>
      </c>
      <c r="AF63" s="7" t="s">
        <v>1175</v>
      </c>
      <c r="AG63" s="50">
        <v>293</v>
      </c>
      <c r="AH63" s="41">
        <v>42936</v>
      </c>
      <c r="AI63" s="41">
        <v>42966</v>
      </c>
      <c r="AJ63" s="49" t="s">
        <v>317</v>
      </c>
      <c r="AK63" s="49" t="s">
        <v>317</v>
      </c>
      <c r="AM63" s="43" t="s">
        <v>472</v>
      </c>
    </row>
    <row r="64" spans="1:39" s="7" customFormat="1" x14ac:dyDescent="0.25">
      <c r="A64" s="7" t="str">
        <f>+MID(Tabla1[[#This Row],[N° Decreto
Expansión]],1,4)</f>
        <v>2017</v>
      </c>
      <c r="B64" s="7" t="str">
        <f>+RIGHT(Tabla1[[#This Row],[N° Decreto
Expansión]],3)</f>
        <v>418</v>
      </c>
      <c r="C64" s="32" t="s">
        <v>306</v>
      </c>
      <c r="D64" s="7" t="s">
        <v>307</v>
      </c>
      <c r="E64" s="7" t="s">
        <v>17</v>
      </c>
      <c r="F64" s="7" t="s">
        <v>308</v>
      </c>
      <c r="G64" s="7" t="s">
        <v>309</v>
      </c>
      <c r="H64" s="7" t="s">
        <v>310</v>
      </c>
      <c r="I64" s="7" t="s">
        <v>323</v>
      </c>
      <c r="J64" s="7">
        <v>2</v>
      </c>
      <c r="K64" s="33" t="s">
        <v>312</v>
      </c>
      <c r="L64" s="7" t="s">
        <v>463</v>
      </c>
      <c r="M64" s="7" t="s">
        <v>463</v>
      </c>
      <c r="N64" s="7" t="s">
        <v>473</v>
      </c>
      <c r="O64" s="7" t="s">
        <v>465</v>
      </c>
      <c r="P64" s="7" t="s">
        <v>323</v>
      </c>
      <c r="Q64" s="34">
        <v>43607</v>
      </c>
      <c r="R64" s="33" t="s">
        <v>317</v>
      </c>
      <c r="S64" s="33" t="s">
        <v>317</v>
      </c>
      <c r="T64" s="36">
        <v>5.6423719871619067</v>
      </c>
      <c r="U64" s="33">
        <v>24</v>
      </c>
      <c r="V64" s="37">
        <v>9669926.5</v>
      </c>
      <c r="W64" s="37">
        <f>Tabla1[[#This Row],[V.I. Adj]]/1000000</f>
        <v>9.6699265000000008</v>
      </c>
      <c r="X64" s="38" t="s">
        <v>317</v>
      </c>
      <c r="Y64" s="38" t="s">
        <v>317</v>
      </c>
      <c r="Z64" s="38" t="s">
        <v>317</v>
      </c>
      <c r="AA64" s="38" t="s">
        <v>317</v>
      </c>
      <c r="AB64" s="38" t="s">
        <v>317</v>
      </c>
      <c r="AC64" s="7" t="s">
        <v>27</v>
      </c>
      <c r="AD64" s="39" t="s">
        <v>317</v>
      </c>
      <c r="AE64" s="39" t="s">
        <v>317</v>
      </c>
      <c r="AF64" s="7" t="s">
        <v>1176</v>
      </c>
      <c r="AG64" s="40" t="s">
        <v>319</v>
      </c>
      <c r="AH64" s="41">
        <v>42936</v>
      </c>
      <c r="AI64" s="41">
        <v>42966</v>
      </c>
      <c r="AJ64" s="41">
        <v>43651</v>
      </c>
      <c r="AK64" s="42">
        <v>43636</v>
      </c>
      <c r="AM64" s="43" t="s">
        <v>474</v>
      </c>
    </row>
    <row r="65" spans="1:39" s="7" customFormat="1" x14ac:dyDescent="0.25">
      <c r="A65" s="7" t="str">
        <f>+MID(Tabla1[[#This Row],[N° Decreto
Expansión]],1,4)</f>
        <v>2017</v>
      </c>
      <c r="B65" s="7" t="str">
        <f>+RIGHT(Tabla1[[#This Row],[N° Decreto
Expansión]],3)</f>
        <v>418</v>
      </c>
      <c r="C65" s="32" t="s">
        <v>306</v>
      </c>
      <c r="D65" s="7" t="s">
        <v>307</v>
      </c>
      <c r="E65" s="7" t="s">
        <v>17</v>
      </c>
      <c r="F65" s="7" t="s">
        <v>308</v>
      </c>
      <c r="G65" s="45" t="s">
        <v>309</v>
      </c>
      <c r="H65" s="7" t="s">
        <v>310</v>
      </c>
      <c r="I65" s="7" t="s">
        <v>363</v>
      </c>
      <c r="J65" s="7">
        <v>3</v>
      </c>
      <c r="K65" s="33" t="s">
        <v>312</v>
      </c>
      <c r="L65" s="7" t="s">
        <v>475</v>
      </c>
      <c r="M65" s="7" t="s">
        <v>475</v>
      </c>
      <c r="N65" s="7" t="s">
        <v>476</v>
      </c>
      <c r="O65" s="7" t="s">
        <v>477</v>
      </c>
      <c r="P65" s="7" t="s">
        <v>363</v>
      </c>
      <c r="Q65" s="34">
        <v>44005</v>
      </c>
      <c r="R65" s="33" t="s">
        <v>317</v>
      </c>
      <c r="S65" s="33" t="s">
        <v>317</v>
      </c>
      <c r="T65" s="36">
        <v>7.5821359955159169</v>
      </c>
      <c r="U65" s="33">
        <v>36</v>
      </c>
      <c r="V65" s="37">
        <v>9829556.4199999999</v>
      </c>
      <c r="W65" s="37">
        <f>Tabla1[[#This Row],[V.I. Adj]]/1000000</f>
        <v>9.8295564199999994</v>
      </c>
      <c r="X65" s="48" t="s">
        <v>317</v>
      </c>
      <c r="Y65" s="48" t="s">
        <v>317</v>
      </c>
      <c r="Z65" s="48" t="s">
        <v>317</v>
      </c>
      <c r="AA65" s="48" t="s">
        <v>317</v>
      </c>
      <c r="AB65" s="48" t="s">
        <v>317</v>
      </c>
      <c r="AC65" s="7" t="s">
        <v>34</v>
      </c>
      <c r="AD65" s="39" t="s">
        <v>317</v>
      </c>
      <c r="AE65" s="39" t="s">
        <v>317</v>
      </c>
      <c r="AF65" s="7" t="s">
        <v>1177</v>
      </c>
      <c r="AG65" s="50">
        <v>418</v>
      </c>
      <c r="AH65" s="41">
        <v>42936</v>
      </c>
      <c r="AI65" s="41">
        <v>42966</v>
      </c>
      <c r="AJ65" s="49" t="s">
        <v>317</v>
      </c>
      <c r="AK65" s="53" t="s">
        <v>317</v>
      </c>
      <c r="AM65" s="43" t="s">
        <v>478</v>
      </c>
    </row>
    <row r="66" spans="1:39" s="7" customFormat="1" x14ac:dyDescent="0.25">
      <c r="A66" s="7" t="str">
        <f>+MID(Tabla1[[#This Row],[N° Decreto
Expansión]],1,4)</f>
        <v>2017</v>
      </c>
      <c r="B66" s="7" t="str">
        <f>+RIGHT(Tabla1[[#This Row],[N° Decreto
Expansión]],3)</f>
        <v>418</v>
      </c>
      <c r="C66" s="32" t="s">
        <v>306</v>
      </c>
      <c r="D66" s="7" t="s">
        <v>307</v>
      </c>
      <c r="E66" s="7" t="s">
        <v>479</v>
      </c>
      <c r="F66" s="7" t="s">
        <v>480</v>
      </c>
      <c r="G66" s="45" t="s">
        <v>309</v>
      </c>
      <c r="H66" s="7" t="s">
        <v>310</v>
      </c>
      <c r="I66" s="7" t="s">
        <v>311</v>
      </c>
      <c r="J66" s="7">
        <v>1</v>
      </c>
      <c r="K66" s="33" t="s">
        <v>312</v>
      </c>
      <c r="L66" s="7" t="s">
        <v>324</v>
      </c>
      <c r="M66" s="7" t="s">
        <v>324</v>
      </c>
      <c r="N66" s="7" t="s">
        <v>481</v>
      </c>
      <c r="O66" s="7" t="s">
        <v>482</v>
      </c>
      <c r="P66" s="7" t="s">
        <v>311</v>
      </c>
      <c r="Q66" s="34">
        <v>43396</v>
      </c>
      <c r="R66" s="35" t="s">
        <v>483</v>
      </c>
      <c r="S66" s="34">
        <v>43708</v>
      </c>
      <c r="T66" s="36">
        <v>11.351486264070566</v>
      </c>
      <c r="U66" s="33">
        <v>28</v>
      </c>
      <c r="V66" s="37">
        <v>9411012.456762109</v>
      </c>
      <c r="W66" s="37">
        <f>Tabla1[[#This Row],[V.I. Adj]]/1000000</f>
        <v>9.4110124567621085</v>
      </c>
      <c r="X66" s="37">
        <v>888333</v>
      </c>
      <c r="Y66" s="37">
        <v>195354</v>
      </c>
      <c r="Z66" s="54">
        <v>1083687</v>
      </c>
      <c r="AA66" s="54">
        <v>20</v>
      </c>
      <c r="AB66" s="55">
        <v>7.0000000000000007E-2</v>
      </c>
      <c r="AC66" s="7" t="s">
        <v>317</v>
      </c>
      <c r="AD66" s="7" t="s">
        <v>317</v>
      </c>
      <c r="AE66" s="7" t="s">
        <v>317</v>
      </c>
      <c r="AF66" s="7" t="s">
        <v>484</v>
      </c>
      <c r="AG66" s="40" t="s">
        <v>319</v>
      </c>
      <c r="AH66" s="41">
        <v>42936</v>
      </c>
      <c r="AI66" s="41">
        <v>42966</v>
      </c>
      <c r="AJ66" s="49" t="s">
        <v>317</v>
      </c>
      <c r="AK66" s="42">
        <v>43409</v>
      </c>
      <c r="AM66" s="43" t="s">
        <v>484</v>
      </c>
    </row>
    <row r="67" spans="1:39" s="7" customFormat="1" x14ac:dyDescent="0.25">
      <c r="A67" s="7" t="str">
        <f>+MID(Tabla1[[#This Row],[N° Decreto
Expansión]],1,4)</f>
        <v>2017</v>
      </c>
      <c r="B67" s="7" t="str">
        <f>+RIGHT(Tabla1[[#This Row],[N° Decreto
Expansión]],3)</f>
        <v>418</v>
      </c>
      <c r="C67" s="32" t="s">
        <v>306</v>
      </c>
      <c r="D67" s="7" t="s">
        <v>307</v>
      </c>
      <c r="E67" s="7" t="s">
        <v>479</v>
      </c>
      <c r="F67" s="7" t="s">
        <v>480</v>
      </c>
      <c r="G67" s="45" t="s">
        <v>309</v>
      </c>
      <c r="H67" s="7" t="s">
        <v>310</v>
      </c>
      <c r="I67" s="7" t="s">
        <v>311</v>
      </c>
      <c r="J67" s="7">
        <v>1</v>
      </c>
      <c r="K67" s="33" t="s">
        <v>312</v>
      </c>
      <c r="L67" s="7" t="s">
        <v>345</v>
      </c>
      <c r="M67" s="7" t="s">
        <v>345</v>
      </c>
      <c r="N67" s="7" t="s">
        <v>485</v>
      </c>
      <c r="O67" s="7" t="s">
        <v>34</v>
      </c>
      <c r="P67" s="7" t="s">
        <v>311</v>
      </c>
      <c r="Q67" s="34">
        <v>43396</v>
      </c>
      <c r="R67" s="35" t="s">
        <v>483</v>
      </c>
      <c r="S67" s="34">
        <v>43708</v>
      </c>
      <c r="T67" s="36">
        <v>25.653405495517383</v>
      </c>
      <c r="U67" s="33">
        <v>36</v>
      </c>
      <c r="V67" s="37">
        <v>14962275.921412576</v>
      </c>
      <c r="W67" s="37">
        <f>Tabla1[[#This Row],[V.I. Adj]]/1000000</f>
        <v>14.962275921412576</v>
      </c>
      <c r="X67" s="37">
        <v>1412333</v>
      </c>
      <c r="Y67" s="37">
        <v>299667</v>
      </c>
      <c r="Z67" s="54">
        <v>1712000</v>
      </c>
      <c r="AA67" s="54">
        <v>20</v>
      </c>
      <c r="AB67" s="55">
        <v>7.0000000000000007E-2</v>
      </c>
      <c r="AC67" s="7" t="s">
        <v>317</v>
      </c>
      <c r="AD67" s="7" t="s">
        <v>317</v>
      </c>
      <c r="AE67" s="7" t="s">
        <v>317</v>
      </c>
      <c r="AF67" s="7" t="s">
        <v>486</v>
      </c>
      <c r="AG67" s="40" t="s">
        <v>319</v>
      </c>
      <c r="AH67" s="41">
        <v>42936</v>
      </c>
      <c r="AI67" s="41">
        <v>42966</v>
      </c>
      <c r="AJ67" s="49" t="s">
        <v>317</v>
      </c>
      <c r="AK67" s="42">
        <v>43409</v>
      </c>
      <c r="AM67" s="43" t="s">
        <v>486</v>
      </c>
    </row>
    <row r="68" spans="1:39" s="7" customFormat="1" x14ac:dyDescent="0.25">
      <c r="A68" s="7" t="str">
        <f>+MID(Tabla1[[#This Row],[N° Decreto
Expansión]],1,4)</f>
        <v>2017</v>
      </c>
      <c r="B68" s="7" t="str">
        <f>+RIGHT(Tabla1[[#This Row],[N° Decreto
Expansión]],3)</f>
        <v>418</v>
      </c>
      <c r="C68" s="32" t="s">
        <v>306</v>
      </c>
      <c r="D68" s="7" t="s">
        <v>307</v>
      </c>
      <c r="E68" s="7" t="s">
        <v>479</v>
      </c>
      <c r="F68" s="7" t="s">
        <v>480</v>
      </c>
      <c r="G68" s="45" t="s">
        <v>309</v>
      </c>
      <c r="H68" s="7" t="s">
        <v>310</v>
      </c>
      <c r="I68" s="7" t="s">
        <v>311</v>
      </c>
      <c r="J68" s="7">
        <v>1</v>
      </c>
      <c r="K68" s="33" t="s">
        <v>312</v>
      </c>
      <c r="L68" s="7" t="s">
        <v>345</v>
      </c>
      <c r="M68" s="7" t="s">
        <v>345</v>
      </c>
      <c r="N68" s="7" t="s">
        <v>487</v>
      </c>
      <c r="O68" s="7" t="s">
        <v>488</v>
      </c>
      <c r="P68" s="7" t="s">
        <v>311</v>
      </c>
      <c r="Q68" s="34">
        <v>43396</v>
      </c>
      <c r="R68" s="35" t="s">
        <v>483</v>
      </c>
      <c r="S68" s="34">
        <v>43708</v>
      </c>
      <c r="T68" s="36">
        <v>11.87906817349727</v>
      </c>
      <c r="U68" s="33">
        <v>60</v>
      </c>
      <c r="V68" s="37">
        <v>5028014.5070501789</v>
      </c>
      <c r="W68" s="37">
        <f>Tabla1[[#This Row],[V.I. Adj]]/1000000</f>
        <v>5.0280145070501794</v>
      </c>
      <c r="X68" s="37">
        <v>474609</v>
      </c>
      <c r="Y68" s="37">
        <v>157241</v>
      </c>
      <c r="Z68" s="54">
        <v>631850</v>
      </c>
      <c r="AA68" s="54">
        <v>20</v>
      </c>
      <c r="AB68" s="55">
        <v>7.0000000000000007E-2</v>
      </c>
      <c r="AC68" s="7" t="s">
        <v>317</v>
      </c>
      <c r="AD68" s="7" t="s">
        <v>489</v>
      </c>
      <c r="AE68" s="7" t="s">
        <v>317</v>
      </c>
      <c r="AF68" s="7" t="s">
        <v>490</v>
      </c>
      <c r="AG68" s="40" t="s">
        <v>319</v>
      </c>
      <c r="AH68" s="41">
        <v>42936</v>
      </c>
      <c r="AI68" s="41">
        <v>42966</v>
      </c>
      <c r="AJ68" s="49" t="s">
        <v>317</v>
      </c>
      <c r="AK68" s="42">
        <v>43409</v>
      </c>
      <c r="AM68" s="43" t="s">
        <v>490</v>
      </c>
    </row>
    <row r="69" spans="1:39" s="7" customFormat="1" x14ac:dyDescent="0.25">
      <c r="A69" s="7" t="str">
        <f>+MID(Tabla1[[#This Row],[N° Decreto
Expansión]],1,4)</f>
        <v>2017</v>
      </c>
      <c r="B69" s="7" t="str">
        <f>+RIGHT(Tabla1[[#This Row],[N° Decreto
Expansión]],3)</f>
        <v>418</v>
      </c>
      <c r="C69" s="32" t="s">
        <v>306</v>
      </c>
      <c r="D69" s="7" t="s">
        <v>307</v>
      </c>
      <c r="E69" s="7" t="s">
        <v>479</v>
      </c>
      <c r="F69" s="7" t="s">
        <v>480</v>
      </c>
      <c r="G69" s="45" t="s">
        <v>309</v>
      </c>
      <c r="H69" s="7" t="s">
        <v>310</v>
      </c>
      <c r="I69" s="7" t="s">
        <v>311</v>
      </c>
      <c r="J69" s="7">
        <v>1</v>
      </c>
      <c r="K69" s="33" t="s">
        <v>312</v>
      </c>
      <c r="L69" s="7" t="s">
        <v>345</v>
      </c>
      <c r="M69" s="7" t="s">
        <v>345</v>
      </c>
      <c r="N69" s="7" t="s">
        <v>491</v>
      </c>
      <c r="O69" s="7" t="s">
        <v>488</v>
      </c>
      <c r="P69" s="7" t="s">
        <v>311</v>
      </c>
      <c r="Q69" s="34">
        <v>43396</v>
      </c>
      <c r="R69" s="35" t="s">
        <v>483</v>
      </c>
      <c r="S69" s="34">
        <v>43708</v>
      </c>
      <c r="T69" s="36">
        <v>19.715460510905572</v>
      </c>
      <c r="U69" s="33">
        <v>36</v>
      </c>
      <c r="V69" s="37">
        <v>19715460.510905575</v>
      </c>
      <c r="W69" s="37">
        <f>Tabla1[[#This Row],[V.I. Adj]]/1000000</f>
        <v>19.715460510905576</v>
      </c>
      <c r="X69" s="37">
        <v>1861000</v>
      </c>
      <c r="Y69" s="37">
        <v>295200</v>
      </c>
      <c r="Z69" s="54">
        <v>2156200</v>
      </c>
      <c r="AA69" s="54">
        <v>20</v>
      </c>
      <c r="AB69" s="55">
        <v>7.0000000000000007E-2</v>
      </c>
      <c r="AC69" s="7" t="s">
        <v>317</v>
      </c>
      <c r="AD69" s="7" t="s">
        <v>489</v>
      </c>
      <c r="AE69" s="7" t="s">
        <v>317</v>
      </c>
      <c r="AF69" s="7" t="s">
        <v>492</v>
      </c>
      <c r="AG69" s="40" t="s">
        <v>319</v>
      </c>
      <c r="AH69" s="41">
        <v>42936</v>
      </c>
      <c r="AI69" s="41">
        <v>42966</v>
      </c>
      <c r="AJ69" s="49" t="s">
        <v>317</v>
      </c>
      <c r="AK69" s="42">
        <v>43409</v>
      </c>
      <c r="AM69" s="43" t="s">
        <v>492</v>
      </c>
    </row>
    <row r="70" spans="1:39" s="7" customFormat="1" x14ac:dyDescent="0.25">
      <c r="A70" s="7" t="str">
        <f>+MID(Tabla1[[#This Row],[N° Decreto
Expansión]],1,4)</f>
        <v>2017</v>
      </c>
      <c r="B70" s="7" t="str">
        <f>+RIGHT(Tabla1[[#This Row],[N° Decreto
Expansión]],3)</f>
        <v>418</v>
      </c>
      <c r="C70" s="32" t="s">
        <v>306</v>
      </c>
      <c r="D70" s="7" t="s">
        <v>307</v>
      </c>
      <c r="E70" s="7" t="s">
        <v>479</v>
      </c>
      <c r="F70" s="7" t="s">
        <v>480</v>
      </c>
      <c r="G70" s="45" t="s">
        <v>309</v>
      </c>
      <c r="H70" s="7" t="s">
        <v>310</v>
      </c>
      <c r="I70" s="7" t="s">
        <v>311</v>
      </c>
      <c r="J70" s="7">
        <v>1</v>
      </c>
      <c r="K70" s="33" t="s">
        <v>33</v>
      </c>
      <c r="L70" s="52" t="s">
        <v>345</v>
      </c>
      <c r="M70" s="7" t="s">
        <v>493</v>
      </c>
      <c r="N70" s="7" t="s">
        <v>494</v>
      </c>
      <c r="O70" s="7" t="s">
        <v>488</v>
      </c>
      <c r="P70" s="7" t="s">
        <v>311</v>
      </c>
      <c r="Q70" s="34">
        <v>43396</v>
      </c>
      <c r="R70" s="35" t="s">
        <v>483</v>
      </c>
      <c r="S70" s="34">
        <v>43708</v>
      </c>
      <c r="T70" s="36">
        <v>42.465046701726983</v>
      </c>
      <c r="U70" s="33">
        <v>60</v>
      </c>
      <c r="V70" s="37">
        <v>33835851.308255471</v>
      </c>
      <c r="W70" s="37">
        <f>Tabla1[[#This Row],[V.I. Adj]]/1000000</f>
        <v>33.835851308255471</v>
      </c>
      <c r="X70" s="37">
        <v>3193865</v>
      </c>
      <c r="Y70" s="37">
        <v>562054</v>
      </c>
      <c r="Z70" s="54">
        <v>3755919</v>
      </c>
      <c r="AA70" s="54">
        <v>20</v>
      </c>
      <c r="AB70" s="55">
        <v>7.0000000000000007E-2</v>
      </c>
      <c r="AC70" s="7" t="s">
        <v>317</v>
      </c>
      <c r="AD70" s="7" t="s">
        <v>489</v>
      </c>
      <c r="AE70" s="7" t="s">
        <v>317</v>
      </c>
      <c r="AF70" s="7" t="s">
        <v>495</v>
      </c>
      <c r="AG70" s="40" t="s">
        <v>319</v>
      </c>
      <c r="AH70" s="41">
        <v>42936</v>
      </c>
      <c r="AI70" s="41">
        <v>42966</v>
      </c>
      <c r="AJ70" s="49" t="s">
        <v>317</v>
      </c>
      <c r="AK70" s="42">
        <v>43409</v>
      </c>
      <c r="AM70" s="43" t="s">
        <v>495</v>
      </c>
    </row>
    <row r="71" spans="1:39" s="7" customFormat="1" x14ac:dyDescent="0.25">
      <c r="A71" s="7" t="str">
        <f>+MID(Tabla1[[#This Row],[N° Decreto
Expansión]],1,4)</f>
        <v>2017</v>
      </c>
      <c r="B71" s="7" t="str">
        <f>+RIGHT(Tabla1[[#This Row],[N° Decreto
Expansión]],3)</f>
        <v>418</v>
      </c>
      <c r="C71" s="32" t="s">
        <v>306</v>
      </c>
      <c r="D71" s="7" t="s">
        <v>307</v>
      </c>
      <c r="E71" s="7" t="s">
        <v>479</v>
      </c>
      <c r="F71" s="7" t="s">
        <v>480</v>
      </c>
      <c r="G71" s="45" t="s">
        <v>309</v>
      </c>
      <c r="H71" s="7" t="s">
        <v>310</v>
      </c>
      <c r="I71" s="7" t="s">
        <v>311</v>
      </c>
      <c r="J71" s="7">
        <v>1</v>
      </c>
      <c r="K71" s="33" t="s">
        <v>312</v>
      </c>
      <c r="L71" s="7" t="s">
        <v>345</v>
      </c>
      <c r="M71" s="7" t="s">
        <v>345</v>
      </c>
      <c r="N71" s="7" t="s">
        <v>496</v>
      </c>
      <c r="O71" s="7" t="s">
        <v>497</v>
      </c>
      <c r="P71" s="7" t="s">
        <v>311</v>
      </c>
      <c r="Q71" s="34">
        <v>43396</v>
      </c>
      <c r="R71" s="35" t="s">
        <v>483</v>
      </c>
      <c r="S71" s="34">
        <v>43708</v>
      </c>
      <c r="T71" s="36">
        <v>9.4106628542920063</v>
      </c>
      <c r="U71" s="33">
        <v>28</v>
      </c>
      <c r="V71" s="37">
        <v>7739616.0172755141</v>
      </c>
      <c r="W71" s="37">
        <f>Tabla1[[#This Row],[V.I. Adj]]/1000000</f>
        <v>7.7396160172755142</v>
      </c>
      <c r="X71" s="37">
        <v>730565</v>
      </c>
      <c r="Y71" s="37">
        <v>124356</v>
      </c>
      <c r="Z71" s="54">
        <v>854921</v>
      </c>
      <c r="AA71" s="54">
        <v>20</v>
      </c>
      <c r="AB71" s="55">
        <v>7.0000000000000007E-2</v>
      </c>
      <c r="AC71" s="7" t="s">
        <v>317</v>
      </c>
      <c r="AD71" s="7" t="s">
        <v>317</v>
      </c>
      <c r="AE71" s="7" t="s">
        <v>317</v>
      </c>
      <c r="AF71" s="7" t="s">
        <v>498</v>
      </c>
      <c r="AG71" s="40" t="s">
        <v>319</v>
      </c>
      <c r="AH71" s="41">
        <v>42936</v>
      </c>
      <c r="AI71" s="41">
        <v>42966</v>
      </c>
      <c r="AJ71" s="49" t="s">
        <v>317</v>
      </c>
      <c r="AK71" s="42">
        <v>43409</v>
      </c>
      <c r="AM71" s="43" t="s">
        <v>498</v>
      </c>
    </row>
    <row r="72" spans="1:39" s="7" customFormat="1" x14ac:dyDescent="0.25">
      <c r="A72" s="7" t="str">
        <f>+MID(Tabla1[[#This Row],[N° Decreto
Expansión]],1,4)</f>
        <v>2017</v>
      </c>
      <c r="B72" s="7" t="str">
        <f>+RIGHT(Tabla1[[#This Row],[N° Decreto
Expansión]],3)</f>
        <v>418</v>
      </c>
      <c r="C72" s="32" t="s">
        <v>306</v>
      </c>
      <c r="D72" s="7" t="s">
        <v>307</v>
      </c>
      <c r="E72" s="7" t="s">
        <v>479</v>
      </c>
      <c r="F72" s="7" t="s">
        <v>480</v>
      </c>
      <c r="G72" s="45" t="s">
        <v>309</v>
      </c>
      <c r="H72" s="7" t="s">
        <v>310</v>
      </c>
      <c r="I72" s="7" t="s">
        <v>311</v>
      </c>
      <c r="J72" s="7">
        <v>1</v>
      </c>
      <c r="K72" s="33" t="s">
        <v>312</v>
      </c>
      <c r="L72" s="7" t="s">
        <v>408</v>
      </c>
      <c r="M72" s="7" t="s">
        <v>408</v>
      </c>
      <c r="N72" s="7" t="s">
        <v>499</v>
      </c>
      <c r="O72" s="7" t="s">
        <v>500</v>
      </c>
      <c r="P72" s="7" t="s">
        <v>311</v>
      </c>
      <c r="Q72" s="34">
        <v>43396</v>
      </c>
      <c r="R72" s="35" t="s">
        <v>483</v>
      </c>
      <c r="S72" s="34">
        <v>43708</v>
      </c>
      <c r="T72" s="36">
        <v>6.6201995020230484</v>
      </c>
      <c r="U72" s="33">
        <v>36</v>
      </c>
      <c r="V72" s="37">
        <v>5962258.2473052675</v>
      </c>
      <c r="W72" s="37">
        <f>Tabla1[[#This Row],[V.I. Adj]]/1000000</f>
        <v>5.9622582473052672</v>
      </c>
      <c r="X72" s="37">
        <v>562795</v>
      </c>
      <c r="Y72" s="37">
        <v>151641</v>
      </c>
      <c r="Z72" s="54">
        <v>714436</v>
      </c>
      <c r="AA72" s="54">
        <v>20</v>
      </c>
      <c r="AB72" s="55">
        <v>7.0000000000000007E-2</v>
      </c>
      <c r="AC72" s="7" t="s">
        <v>317</v>
      </c>
      <c r="AD72" s="7" t="s">
        <v>501</v>
      </c>
      <c r="AE72" s="7" t="s">
        <v>317</v>
      </c>
      <c r="AF72" s="7" t="s">
        <v>502</v>
      </c>
      <c r="AG72" s="40" t="s">
        <v>319</v>
      </c>
      <c r="AH72" s="41">
        <v>42936</v>
      </c>
      <c r="AI72" s="41">
        <v>42966</v>
      </c>
      <c r="AJ72" s="49" t="s">
        <v>317</v>
      </c>
      <c r="AK72" s="42">
        <v>43409</v>
      </c>
      <c r="AM72" s="43" t="s">
        <v>502</v>
      </c>
    </row>
    <row r="73" spans="1:39" s="7" customFormat="1" x14ac:dyDescent="0.25">
      <c r="A73" s="7" t="str">
        <f>+MID(Tabla1[[#This Row],[N° Decreto
Expansión]],1,4)</f>
        <v>2017</v>
      </c>
      <c r="B73" s="7" t="str">
        <f>+RIGHT(Tabla1[[#This Row],[N° Decreto
Expansión]],3)</f>
        <v>418</v>
      </c>
      <c r="C73" s="32" t="s">
        <v>306</v>
      </c>
      <c r="D73" s="7" t="s">
        <v>307</v>
      </c>
      <c r="E73" s="7" t="s">
        <v>479</v>
      </c>
      <c r="F73" s="7" t="s">
        <v>480</v>
      </c>
      <c r="G73" s="45" t="s">
        <v>309</v>
      </c>
      <c r="H73" s="7" t="s">
        <v>310</v>
      </c>
      <c r="I73" s="7" t="s">
        <v>311</v>
      </c>
      <c r="J73" s="7">
        <v>1</v>
      </c>
      <c r="K73" s="33" t="s">
        <v>33</v>
      </c>
      <c r="L73" s="7" t="s">
        <v>345</v>
      </c>
      <c r="M73" s="7" t="s">
        <v>345</v>
      </c>
      <c r="N73" s="7" t="s">
        <v>503</v>
      </c>
      <c r="O73" s="7" t="s">
        <v>500</v>
      </c>
      <c r="P73" s="7" t="s">
        <v>311</v>
      </c>
      <c r="Q73" s="34">
        <v>43396</v>
      </c>
      <c r="R73" s="35" t="s">
        <v>483</v>
      </c>
      <c r="S73" s="34">
        <v>43708</v>
      </c>
      <c r="T73" s="36">
        <v>4.9622362725997693</v>
      </c>
      <c r="U73" s="33">
        <v>48</v>
      </c>
      <c r="V73" s="37">
        <v>1798461.0463473145</v>
      </c>
      <c r="W73" s="37">
        <f>Tabla1[[#This Row],[V.I. Adj]]/1000000</f>
        <v>1.7984610463473145</v>
      </c>
      <c r="X73" s="37">
        <v>169762</v>
      </c>
      <c r="Y73" s="37">
        <v>67349</v>
      </c>
      <c r="Z73" s="54">
        <v>237111</v>
      </c>
      <c r="AA73" s="54">
        <v>20</v>
      </c>
      <c r="AB73" s="55">
        <v>7.0000000000000007E-2</v>
      </c>
      <c r="AC73" s="7" t="s">
        <v>317</v>
      </c>
      <c r="AD73" s="7" t="s">
        <v>501</v>
      </c>
      <c r="AE73" s="7" t="s">
        <v>317</v>
      </c>
      <c r="AF73" s="7" t="s">
        <v>504</v>
      </c>
      <c r="AG73" s="40" t="s">
        <v>319</v>
      </c>
      <c r="AH73" s="41">
        <v>42936</v>
      </c>
      <c r="AI73" s="41">
        <v>42966</v>
      </c>
      <c r="AJ73" s="49" t="s">
        <v>317</v>
      </c>
      <c r="AK73" s="42">
        <v>43409</v>
      </c>
      <c r="AM73" s="43" t="s">
        <v>504</v>
      </c>
    </row>
    <row r="74" spans="1:39" s="7" customFormat="1" x14ac:dyDescent="0.25">
      <c r="A74" s="7" t="str">
        <f>+MID(Tabla1[[#This Row],[N° Decreto
Expansión]],1,4)</f>
        <v>2017</v>
      </c>
      <c r="B74" s="7" t="str">
        <f>+RIGHT(Tabla1[[#This Row],[N° Decreto
Expansión]],3)</f>
        <v>418</v>
      </c>
      <c r="C74" s="32" t="s">
        <v>306</v>
      </c>
      <c r="D74" s="7" t="s">
        <v>307</v>
      </c>
      <c r="E74" s="7" t="s">
        <v>479</v>
      </c>
      <c r="F74" s="7" t="s">
        <v>480</v>
      </c>
      <c r="G74" s="45" t="s">
        <v>309</v>
      </c>
      <c r="H74" s="7" t="s">
        <v>310</v>
      </c>
      <c r="I74" s="7" t="s">
        <v>311</v>
      </c>
      <c r="J74" s="7">
        <v>1</v>
      </c>
      <c r="K74" s="33" t="s">
        <v>312</v>
      </c>
      <c r="L74" s="7" t="s">
        <v>345</v>
      </c>
      <c r="M74" s="7" t="s">
        <v>345</v>
      </c>
      <c r="N74" s="7" t="s">
        <v>505</v>
      </c>
      <c r="O74" s="7" t="s">
        <v>500</v>
      </c>
      <c r="P74" s="7" t="s">
        <v>311</v>
      </c>
      <c r="Q74" s="34">
        <v>43396</v>
      </c>
      <c r="R74" s="35" t="s">
        <v>483</v>
      </c>
      <c r="S74" s="34">
        <v>43708</v>
      </c>
      <c r="T74" s="36">
        <v>6.709189221685385</v>
      </c>
      <c r="U74" s="33">
        <v>24</v>
      </c>
      <c r="V74" s="37">
        <v>6434475.8382849051</v>
      </c>
      <c r="W74" s="37">
        <f>Tabla1[[#This Row],[V.I. Adj]]/1000000</f>
        <v>6.4344758382849054</v>
      </c>
      <c r="X74" s="37">
        <v>607369</v>
      </c>
      <c r="Y74" s="37">
        <v>138102</v>
      </c>
      <c r="Z74" s="54">
        <v>745471</v>
      </c>
      <c r="AA74" s="54">
        <v>20</v>
      </c>
      <c r="AB74" s="55">
        <v>7.0000000000000007E-2</v>
      </c>
      <c r="AC74" s="7" t="s">
        <v>317</v>
      </c>
      <c r="AD74" s="7" t="s">
        <v>317</v>
      </c>
      <c r="AE74" s="7" t="s">
        <v>317</v>
      </c>
      <c r="AF74" s="7" t="s">
        <v>506</v>
      </c>
      <c r="AG74" s="40" t="s">
        <v>319</v>
      </c>
      <c r="AH74" s="41">
        <v>42936</v>
      </c>
      <c r="AI74" s="41">
        <v>42966</v>
      </c>
      <c r="AJ74" s="49" t="s">
        <v>317</v>
      </c>
      <c r="AK74" s="42">
        <v>43409</v>
      </c>
      <c r="AM74" s="43" t="s">
        <v>506</v>
      </c>
    </row>
    <row r="75" spans="1:39" s="7" customFormat="1" x14ac:dyDescent="0.25">
      <c r="A75" s="7" t="str">
        <f>+MID(Tabla1[[#This Row],[N° Decreto
Expansión]],1,4)</f>
        <v>2017</v>
      </c>
      <c r="B75" s="7" t="str">
        <f>+RIGHT(Tabla1[[#This Row],[N° Decreto
Expansión]],3)</f>
        <v>418</v>
      </c>
      <c r="C75" s="32" t="s">
        <v>306</v>
      </c>
      <c r="D75" s="7" t="s">
        <v>307</v>
      </c>
      <c r="E75" s="7" t="s">
        <v>479</v>
      </c>
      <c r="F75" s="7" t="s">
        <v>480</v>
      </c>
      <c r="G75" s="45" t="s">
        <v>309</v>
      </c>
      <c r="H75" s="7" t="s">
        <v>310</v>
      </c>
      <c r="I75" s="7" t="s">
        <v>311</v>
      </c>
      <c r="J75" s="7">
        <v>1</v>
      </c>
      <c r="K75" s="33" t="s">
        <v>33</v>
      </c>
      <c r="L75" s="52" t="s">
        <v>443</v>
      </c>
      <c r="M75" s="7" t="s">
        <v>507</v>
      </c>
      <c r="N75" s="7" t="s">
        <v>508</v>
      </c>
      <c r="O75" s="7" t="s">
        <v>509</v>
      </c>
      <c r="P75" s="7" t="s">
        <v>311</v>
      </c>
      <c r="Q75" s="34">
        <v>43396</v>
      </c>
      <c r="R75" s="35" t="s">
        <v>483</v>
      </c>
      <c r="S75" s="34">
        <v>43708</v>
      </c>
      <c r="T75" s="36">
        <v>211.6588700125919</v>
      </c>
      <c r="U75" s="33">
        <v>60</v>
      </c>
      <c r="V75" s="37">
        <v>40905713.744929455</v>
      </c>
      <c r="W75" s="37">
        <f>Tabla1[[#This Row],[V.I. Adj]]/1000000</f>
        <v>40.905713744929457</v>
      </c>
      <c r="X75" s="37">
        <v>3861210</v>
      </c>
      <c r="Y75" s="37">
        <v>347001</v>
      </c>
      <c r="Z75" s="54">
        <v>4208211</v>
      </c>
      <c r="AA75" s="54">
        <v>20</v>
      </c>
      <c r="AB75" s="55">
        <v>7.0000000000000007E-2</v>
      </c>
      <c r="AC75" s="7" t="s">
        <v>317</v>
      </c>
      <c r="AD75" s="7" t="s">
        <v>510</v>
      </c>
      <c r="AE75" s="7" t="s">
        <v>317</v>
      </c>
      <c r="AF75" s="7" t="s">
        <v>511</v>
      </c>
      <c r="AG75" s="40" t="s">
        <v>319</v>
      </c>
      <c r="AH75" s="41">
        <v>42936</v>
      </c>
      <c r="AI75" s="41">
        <v>42966</v>
      </c>
      <c r="AJ75" s="49" t="s">
        <v>317</v>
      </c>
      <c r="AK75" s="42">
        <v>43409</v>
      </c>
      <c r="AM75" s="43" t="s">
        <v>511</v>
      </c>
    </row>
    <row r="76" spans="1:39" s="7" customFormat="1" x14ac:dyDescent="0.25">
      <c r="A76" s="7" t="str">
        <f>+MID(Tabla1[[#This Row],[N° Decreto
Expansión]],1,4)</f>
        <v>2017</v>
      </c>
      <c r="B76" s="7" t="str">
        <f>+RIGHT(Tabla1[[#This Row],[N° Decreto
Expansión]],3)</f>
        <v>418</v>
      </c>
      <c r="C76" s="32" t="s">
        <v>306</v>
      </c>
      <c r="D76" s="7" t="s">
        <v>307</v>
      </c>
      <c r="E76" s="7" t="s">
        <v>479</v>
      </c>
      <c r="F76" s="7" t="s">
        <v>480</v>
      </c>
      <c r="G76" s="45" t="s">
        <v>309</v>
      </c>
      <c r="H76" s="7" t="s">
        <v>310</v>
      </c>
      <c r="I76" s="7" t="s">
        <v>311</v>
      </c>
      <c r="J76" s="7">
        <v>1</v>
      </c>
      <c r="K76" s="33" t="s">
        <v>33</v>
      </c>
      <c r="L76" s="7" t="s">
        <v>408</v>
      </c>
      <c r="M76" s="7" t="s">
        <v>408</v>
      </c>
      <c r="N76" s="7" t="s">
        <v>512</v>
      </c>
      <c r="O76" s="7" t="s">
        <v>509</v>
      </c>
      <c r="P76" s="7" t="s">
        <v>311</v>
      </c>
      <c r="Q76" s="34">
        <v>43396</v>
      </c>
      <c r="R76" s="35" t="s">
        <v>483</v>
      </c>
      <c r="S76" s="34">
        <v>43708</v>
      </c>
      <c r="T76" s="36">
        <v>35.007920074308153</v>
      </c>
      <c r="U76" s="33">
        <v>48</v>
      </c>
      <c r="V76" s="37">
        <v>35007920.074308157</v>
      </c>
      <c r="W76" s="37">
        <f>Tabla1[[#This Row],[V.I. Adj]]/1000000</f>
        <v>35.00792007430816</v>
      </c>
      <c r="X76" s="37">
        <v>3304500</v>
      </c>
      <c r="Y76" s="37">
        <v>524200</v>
      </c>
      <c r="Z76" s="54">
        <v>3828700</v>
      </c>
      <c r="AA76" s="54">
        <v>20</v>
      </c>
      <c r="AB76" s="55">
        <v>7.0000000000000007E-2</v>
      </c>
      <c r="AC76" s="7" t="s">
        <v>317</v>
      </c>
      <c r="AD76" s="7" t="s">
        <v>510</v>
      </c>
      <c r="AE76" s="7" t="s">
        <v>317</v>
      </c>
      <c r="AF76" s="7" t="s">
        <v>513</v>
      </c>
      <c r="AG76" s="40" t="s">
        <v>319</v>
      </c>
      <c r="AH76" s="41">
        <v>42936</v>
      </c>
      <c r="AI76" s="41">
        <v>42966</v>
      </c>
      <c r="AJ76" s="49" t="s">
        <v>317</v>
      </c>
      <c r="AK76" s="42">
        <v>43409</v>
      </c>
      <c r="AM76" s="43" t="s">
        <v>513</v>
      </c>
    </row>
    <row r="77" spans="1:39" s="7" customFormat="1" x14ac:dyDescent="0.25">
      <c r="A77" s="7" t="str">
        <f>+MID(Tabla1[[#This Row],[N° Decreto
Expansión]],1,4)</f>
        <v>2017</v>
      </c>
      <c r="B77" s="7" t="str">
        <f>+RIGHT(Tabla1[[#This Row],[N° Decreto
Expansión]],3)</f>
        <v>418</v>
      </c>
      <c r="C77" s="32" t="s">
        <v>306</v>
      </c>
      <c r="D77" s="7" t="s">
        <v>307</v>
      </c>
      <c r="E77" s="7" t="s">
        <v>479</v>
      </c>
      <c r="F77" s="7" t="s">
        <v>480</v>
      </c>
      <c r="G77" s="45" t="s">
        <v>309</v>
      </c>
      <c r="H77" s="7" t="s">
        <v>310</v>
      </c>
      <c r="I77" s="7" t="s">
        <v>311</v>
      </c>
      <c r="J77" s="7">
        <v>1</v>
      </c>
      <c r="K77" s="33" t="s">
        <v>312</v>
      </c>
      <c r="L77" s="7" t="s">
        <v>443</v>
      </c>
      <c r="M77" s="7" t="s">
        <v>443</v>
      </c>
      <c r="N77" s="7" t="s">
        <v>514</v>
      </c>
      <c r="O77" s="7" t="s">
        <v>509</v>
      </c>
      <c r="P77" s="7" t="s">
        <v>311</v>
      </c>
      <c r="Q77" s="34">
        <v>43396</v>
      </c>
      <c r="R77" s="35" t="s">
        <v>483</v>
      </c>
      <c r="S77" s="34">
        <v>43708</v>
      </c>
      <c r="T77" s="36">
        <v>15.866655135509554</v>
      </c>
      <c r="U77" s="33">
        <v>48</v>
      </c>
      <c r="V77" s="37">
        <v>15866655.135509554</v>
      </c>
      <c r="W77" s="37">
        <f>Tabla1[[#This Row],[V.I. Adj]]/1000000</f>
        <v>15.866655135509554</v>
      </c>
      <c r="X77" s="37">
        <v>1497700</v>
      </c>
      <c r="Y77" s="37">
        <v>237600</v>
      </c>
      <c r="Z77" s="54">
        <v>1735300</v>
      </c>
      <c r="AA77" s="54">
        <v>20</v>
      </c>
      <c r="AB77" s="55">
        <v>7.0000000000000007E-2</v>
      </c>
      <c r="AC77" s="7" t="s">
        <v>317</v>
      </c>
      <c r="AD77" s="7" t="s">
        <v>510</v>
      </c>
      <c r="AE77" s="7" t="s">
        <v>317</v>
      </c>
      <c r="AF77" s="7" t="s">
        <v>515</v>
      </c>
      <c r="AG77" s="40" t="s">
        <v>319</v>
      </c>
      <c r="AH77" s="41">
        <v>42936</v>
      </c>
      <c r="AI77" s="41">
        <v>42966</v>
      </c>
      <c r="AJ77" s="49" t="s">
        <v>317</v>
      </c>
      <c r="AK77" s="42">
        <v>43409</v>
      </c>
      <c r="AM77" s="43" t="s">
        <v>515</v>
      </c>
    </row>
    <row r="78" spans="1:39" s="7" customFormat="1" x14ac:dyDescent="0.25">
      <c r="A78" s="7" t="str">
        <f>+MID(Tabla1[[#This Row],[N° Decreto
Expansión]],1,4)</f>
        <v>2017</v>
      </c>
      <c r="B78" s="7" t="str">
        <f>+RIGHT(Tabla1[[#This Row],[N° Decreto
Expansión]],3)</f>
        <v>418</v>
      </c>
      <c r="C78" s="32" t="s">
        <v>306</v>
      </c>
      <c r="D78" s="7" t="s">
        <v>307</v>
      </c>
      <c r="E78" s="7" t="s">
        <v>479</v>
      </c>
      <c r="F78" s="7" t="s">
        <v>480</v>
      </c>
      <c r="G78" s="45" t="s">
        <v>309</v>
      </c>
      <c r="H78" s="7" t="s">
        <v>310</v>
      </c>
      <c r="I78" s="7" t="s">
        <v>311</v>
      </c>
      <c r="J78" s="7">
        <v>1</v>
      </c>
      <c r="K78" s="33" t="s">
        <v>312</v>
      </c>
      <c r="L78" s="7" t="s">
        <v>408</v>
      </c>
      <c r="M78" s="7" t="s">
        <v>408</v>
      </c>
      <c r="N78" s="7" t="s">
        <v>516</v>
      </c>
      <c r="O78" s="7" t="s">
        <v>509</v>
      </c>
      <c r="P78" s="7" t="s">
        <v>311</v>
      </c>
      <c r="Q78" s="34">
        <v>43396</v>
      </c>
      <c r="R78" s="35" t="s">
        <v>483</v>
      </c>
      <c r="S78" s="34">
        <v>43708</v>
      </c>
      <c r="T78" s="36">
        <v>15.721517140345982</v>
      </c>
      <c r="U78" s="33">
        <v>60</v>
      </c>
      <c r="V78" s="37">
        <v>1920398.1503132056</v>
      </c>
      <c r="W78" s="37">
        <f>Tabla1[[#This Row],[V.I. Adj]]/1000000</f>
        <v>1.9203981503132055</v>
      </c>
      <c r="X78" s="37">
        <v>181272</v>
      </c>
      <c r="Y78" s="37">
        <v>25772</v>
      </c>
      <c r="Z78" s="54">
        <v>207044</v>
      </c>
      <c r="AA78" s="54">
        <v>20</v>
      </c>
      <c r="AB78" s="55">
        <v>7.0000000000000007E-2</v>
      </c>
      <c r="AC78" s="7" t="s">
        <v>317</v>
      </c>
      <c r="AD78" s="7" t="s">
        <v>510</v>
      </c>
      <c r="AE78" s="7" t="s">
        <v>317</v>
      </c>
      <c r="AF78" s="7" t="s">
        <v>517</v>
      </c>
      <c r="AG78" s="40" t="s">
        <v>319</v>
      </c>
      <c r="AH78" s="41">
        <v>42936</v>
      </c>
      <c r="AI78" s="41">
        <v>42966</v>
      </c>
      <c r="AJ78" s="49" t="s">
        <v>317</v>
      </c>
      <c r="AK78" s="42">
        <v>43409</v>
      </c>
      <c r="AM78" s="43" t="s">
        <v>517</v>
      </c>
    </row>
    <row r="79" spans="1:39" s="7" customFormat="1" x14ac:dyDescent="0.25">
      <c r="A79" s="7" t="str">
        <f>+MID(Tabla1[[#This Row],[N° Decreto
Expansión]],1,4)</f>
        <v>2017</v>
      </c>
      <c r="B79" s="7" t="str">
        <f>+RIGHT(Tabla1[[#This Row],[N° Decreto
Expansión]],3)</f>
        <v>418</v>
      </c>
      <c r="C79" s="32" t="s">
        <v>306</v>
      </c>
      <c r="D79" s="7" t="s">
        <v>307</v>
      </c>
      <c r="E79" s="7" t="s">
        <v>479</v>
      </c>
      <c r="F79" s="7" t="s">
        <v>480</v>
      </c>
      <c r="G79" s="45" t="s">
        <v>309</v>
      </c>
      <c r="H79" s="7" t="s">
        <v>310</v>
      </c>
      <c r="I79" s="7" t="s">
        <v>311</v>
      </c>
      <c r="J79" s="7">
        <v>1</v>
      </c>
      <c r="K79" s="33" t="s">
        <v>312</v>
      </c>
      <c r="L79" s="7" t="s">
        <v>408</v>
      </c>
      <c r="M79" s="7" t="s">
        <v>408</v>
      </c>
      <c r="N79" s="7" t="s">
        <v>518</v>
      </c>
      <c r="O79" s="7" t="s">
        <v>509</v>
      </c>
      <c r="P79" s="7" t="s">
        <v>311</v>
      </c>
      <c r="Q79" s="34">
        <v>43396</v>
      </c>
      <c r="R79" s="35" t="s">
        <v>483</v>
      </c>
      <c r="S79" s="34">
        <v>43708</v>
      </c>
      <c r="T79" s="36">
        <v>16.198247781394212</v>
      </c>
      <c r="U79" s="33">
        <v>60</v>
      </c>
      <c r="V79" s="37">
        <v>2159801.6842333796</v>
      </c>
      <c r="W79" s="37">
        <f>Tabla1[[#This Row],[V.I. Adj]]/1000000</f>
        <v>2.1598016842333796</v>
      </c>
      <c r="X79" s="37">
        <v>203870</v>
      </c>
      <c r="Y79" s="37">
        <v>26561</v>
      </c>
      <c r="Z79" s="54">
        <v>230431</v>
      </c>
      <c r="AA79" s="54">
        <v>20</v>
      </c>
      <c r="AB79" s="55">
        <v>7.0000000000000007E-2</v>
      </c>
      <c r="AC79" s="7" t="s">
        <v>317</v>
      </c>
      <c r="AD79" s="7" t="s">
        <v>510</v>
      </c>
      <c r="AE79" s="7" t="s">
        <v>317</v>
      </c>
      <c r="AF79" s="7" t="s">
        <v>519</v>
      </c>
      <c r="AG79" s="40" t="s">
        <v>319</v>
      </c>
      <c r="AH79" s="41">
        <v>42936</v>
      </c>
      <c r="AI79" s="41">
        <v>42966</v>
      </c>
      <c r="AJ79" s="49" t="s">
        <v>317</v>
      </c>
      <c r="AK79" s="42">
        <v>43409</v>
      </c>
      <c r="AM79" s="43" t="s">
        <v>519</v>
      </c>
    </row>
    <row r="80" spans="1:39" s="7" customFormat="1" x14ac:dyDescent="0.25">
      <c r="A80" s="7" t="str">
        <f>+MID(Tabla1[[#This Row],[N° Decreto
Expansión]],1,4)</f>
        <v>2017</v>
      </c>
      <c r="B80" s="7" t="str">
        <f>+RIGHT(Tabla1[[#This Row],[N° Decreto
Expansión]],3)</f>
        <v>418</v>
      </c>
      <c r="C80" s="32" t="s">
        <v>306</v>
      </c>
      <c r="D80" s="7" t="s">
        <v>307</v>
      </c>
      <c r="E80" s="7" t="s">
        <v>479</v>
      </c>
      <c r="F80" s="7" t="s">
        <v>480</v>
      </c>
      <c r="G80" s="45" t="s">
        <v>309</v>
      </c>
      <c r="H80" s="7" t="s">
        <v>310</v>
      </c>
      <c r="I80" s="7" t="s">
        <v>311</v>
      </c>
      <c r="J80" s="7">
        <v>1</v>
      </c>
      <c r="K80" s="33" t="s">
        <v>312</v>
      </c>
      <c r="L80" s="7" t="s">
        <v>443</v>
      </c>
      <c r="M80" s="7" t="s">
        <v>443</v>
      </c>
      <c r="N80" s="7" t="s">
        <v>520</v>
      </c>
      <c r="O80" s="7" t="s">
        <v>509</v>
      </c>
      <c r="P80" s="7" t="s">
        <v>311</v>
      </c>
      <c r="Q80" s="34">
        <v>43396</v>
      </c>
      <c r="R80" s="35" t="s">
        <v>483</v>
      </c>
      <c r="S80" s="34">
        <v>43708</v>
      </c>
      <c r="T80" s="36">
        <v>15.721517140345982</v>
      </c>
      <c r="U80" s="33">
        <v>60</v>
      </c>
      <c r="V80" s="37">
        <v>2052187.6875274265</v>
      </c>
      <c r="W80" s="37">
        <f>Tabla1[[#This Row],[V.I. Adj]]/1000000</f>
        <v>2.0521876875274265</v>
      </c>
      <c r="X80" s="37">
        <v>193712</v>
      </c>
      <c r="Y80" s="37">
        <v>25773</v>
      </c>
      <c r="Z80" s="54">
        <v>219485</v>
      </c>
      <c r="AA80" s="54">
        <v>20</v>
      </c>
      <c r="AB80" s="55">
        <v>7.0000000000000007E-2</v>
      </c>
      <c r="AC80" s="7" t="s">
        <v>317</v>
      </c>
      <c r="AD80" s="7" t="s">
        <v>510</v>
      </c>
      <c r="AE80" s="7" t="s">
        <v>317</v>
      </c>
      <c r="AF80" s="7" t="s">
        <v>521</v>
      </c>
      <c r="AG80" s="40" t="s">
        <v>319</v>
      </c>
      <c r="AH80" s="41">
        <v>42936</v>
      </c>
      <c r="AI80" s="41">
        <v>42966</v>
      </c>
      <c r="AJ80" s="49" t="s">
        <v>317</v>
      </c>
      <c r="AK80" s="42">
        <v>43409</v>
      </c>
      <c r="AM80" s="43" t="s">
        <v>521</v>
      </c>
    </row>
    <row r="81" spans="1:39" s="7" customFormat="1" x14ac:dyDescent="0.25">
      <c r="A81" s="7" t="str">
        <f>+MID(Tabla1[[#This Row],[N° Decreto
Expansión]],1,4)</f>
        <v>2017</v>
      </c>
      <c r="B81" s="7" t="str">
        <f>+RIGHT(Tabla1[[#This Row],[N° Decreto
Expansión]],3)</f>
        <v>418</v>
      </c>
      <c r="C81" s="32" t="s">
        <v>306</v>
      </c>
      <c r="D81" s="7" t="s">
        <v>307</v>
      </c>
      <c r="E81" s="7" t="s">
        <v>479</v>
      </c>
      <c r="F81" s="7" t="s">
        <v>480</v>
      </c>
      <c r="G81" s="45" t="s">
        <v>309</v>
      </c>
      <c r="H81" s="7" t="s">
        <v>310</v>
      </c>
      <c r="I81" s="7" t="s">
        <v>311</v>
      </c>
      <c r="J81" s="7">
        <v>1</v>
      </c>
      <c r="K81" s="33" t="s">
        <v>312</v>
      </c>
      <c r="L81" s="7" t="s">
        <v>408</v>
      </c>
      <c r="M81" s="7" t="s">
        <v>408</v>
      </c>
      <c r="N81" s="7" t="s">
        <v>522</v>
      </c>
      <c r="O81" s="7" t="s">
        <v>509</v>
      </c>
      <c r="P81" s="7" t="s">
        <v>311</v>
      </c>
      <c r="Q81" s="34">
        <v>43396</v>
      </c>
      <c r="R81" s="35" t="s">
        <v>483</v>
      </c>
      <c r="S81" s="34">
        <v>43708</v>
      </c>
      <c r="T81" s="36">
        <v>16.198247781394212</v>
      </c>
      <c r="U81" s="33">
        <v>48</v>
      </c>
      <c r="V81" s="37">
        <v>16198247.78139421</v>
      </c>
      <c r="W81" s="37">
        <f>Tabla1[[#This Row],[V.I. Adj]]/1000000</f>
        <v>16.198247781394208</v>
      </c>
      <c r="X81" s="37">
        <v>1529000</v>
      </c>
      <c r="Y81" s="37">
        <v>242600</v>
      </c>
      <c r="Z81" s="54">
        <v>1771600</v>
      </c>
      <c r="AA81" s="54">
        <v>20</v>
      </c>
      <c r="AB81" s="55">
        <v>7.0000000000000007E-2</v>
      </c>
      <c r="AC81" s="7" t="s">
        <v>317</v>
      </c>
      <c r="AD81" s="7" t="s">
        <v>510</v>
      </c>
      <c r="AE81" s="7" t="s">
        <v>317</v>
      </c>
      <c r="AF81" s="7" t="s">
        <v>523</v>
      </c>
      <c r="AG81" s="40" t="s">
        <v>319</v>
      </c>
      <c r="AH81" s="41">
        <v>42936</v>
      </c>
      <c r="AI81" s="41">
        <v>42966</v>
      </c>
      <c r="AJ81" s="49" t="s">
        <v>317</v>
      </c>
      <c r="AK81" s="42">
        <v>43409</v>
      </c>
      <c r="AM81" s="43" t="s">
        <v>523</v>
      </c>
    </row>
    <row r="82" spans="1:39" s="7" customFormat="1" x14ac:dyDescent="0.25">
      <c r="A82" s="7" t="str">
        <f>+MID(Tabla1[[#This Row],[N° Decreto
Expansión]],1,4)</f>
        <v>2017</v>
      </c>
      <c r="B82" s="7" t="str">
        <f>+RIGHT(Tabla1[[#This Row],[N° Decreto
Expansión]],3)</f>
        <v>418</v>
      </c>
      <c r="C82" s="32" t="s">
        <v>306</v>
      </c>
      <c r="D82" s="7" t="s">
        <v>307</v>
      </c>
      <c r="E82" s="7" t="s">
        <v>479</v>
      </c>
      <c r="F82" s="7" t="s">
        <v>480</v>
      </c>
      <c r="G82" s="45" t="s">
        <v>309</v>
      </c>
      <c r="H82" s="7" t="s">
        <v>310</v>
      </c>
      <c r="I82" s="7" t="s">
        <v>311</v>
      </c>
      <c r="J82" s="7">
        <v>1</v>
      </c>
      <c r="K82" s="33" t="s">
        <v>33</v>
      </c>
      <c r="L82" s="7" t="s">
        <v>408</v>
      </c>
      <c r="M82" s="7" t="s">
        <v>408</v>
      </c>
      <c r="N82" s="7" t="s">
        <v>524</v>
      </c>
      <c r="O82" s="7" t="s">
        <v>509</v>
      </c>
      <c r="P82" s="7" t="s">
        <v>311</v>
      </c>
      <c r="Q82" s="34">
        <v>43396</v>
      </c>
      <c r="R82" s="35" t="s">
        <v>483</v>
      </c>
      <c r="S82" s="34">
        <v>43708</v>
      </c>
      <c r="T82" s="36">
        <v>12.865370899754828</v>
      </c>
      <c r="U82" s="33">
        <v>60</v>
      </c>
      <c r="V82" s="37">
        <v>3726719.9552306929</v>
      </c>
      <c r="W82" s="37">
        <f>Tabla1[[#This Row],[V.I. Adj]]/1000000</f>
        <v>3.7267199552306929</v>
      </c>
      <c r="X82" s="37">
        <v>351776</v>
      </c>
      <c r="Y82" s="37">
        <v>21087</v>
      </c>
      <c r="Z82" s="54">
        <v>372863</v>
      </c>
      <c r="AA82" s="54">
        <v>20</v>
      </c>
      <c r="AB82" s="55">
        <v>7.0000000000000007E-2</v>
      </c>
      <c r="AC82" s="7" t="s">
        <v>317</v>
      </c>
      <c r="AD82" s="7" t="s">
        <v>510</v>
      </c>
      <c r="AE82" s="7" t="s">
        <v>317</v>
      </c>
      <c r="AF82" s="7" t="s">
        <v>525</v>
      </c>
      <c r="AG82" s="40" t="s">
        <v>319</v>
      </c>
      <c r="AH82" s="41">
        <v>42936</v>
      </c>
      <c r="AI82" s="41">
        <v>42966</v>
      </c>
      <c r="AJ82" s="49" t="s">
        <v>317</v>
      </c>
      <c r="AK82" s="42">
        <v>43409</v>
      </c>
      <c r="AM82" s="43" t="s">
        <v>525</v>
      </c>
    </row>
    <row r="83" spans="1:39" s="7" customFormat="1" x14ac:dyDescent="0.25">
      <c r="A83" s="7" t="str">
        <f>+MID(Tabla1[[#This Row],[N° Decreto
Expansión]],1,4)</f>
        <v>2017</v>
      </c>
      <c r="B83" s="7" t="str">
        <f>+RIGHT(Tabla1[[#This Row],[N° Decreto
Expansión]],3)</f>
        <v>418</v>
      </c>
      <c r="C83" s="32" t="s">
        <v>306</v>
      </c>
      <c r="D83" s="7" t="s">
        <v>307</v>
      </c>
      <c r="E83" s="7" t="s">
        <v>479</v>
      </c>
      <c r="F83" s="7" t="s">
        <v>480</v>
      </c>
      <c r="G83" s="45" t="s">
        <v>309</v>
      </c>
      <c r="H83" s="7" t="s">
        <v>310</v>
      </c>
      <c r="I83" s="7" t="s">
        <v>311</v>
      </c>
      <c r="J83" s="7">
        <v>1</v>
      </c>
      <c r="K83" s="33" t="s">
        <v>33</v>
      </c>
      <c r="L83" s="7" t="s">
        <v>408</v>
      </c>
      <c r="M83" s="7" t="s">
        <v>408</v>
      </c>
      <c r="N83" s="7" t="s">
        <v>526</v>
      </c>
      <c r="O83" s="7" t="s">
        <v>509</v>
      </c>
      <c r="P83" s="7" t="s">
        <v>311</v>
      </c>
      <c r="Q83" s="34">
        <v>43396</v>
      </c>
      <c r="R83" s="35" t="s">
        <v>483</v>
      </c>
      <c r="S83" s="34">
        <v>43708</v>
      </c>
      <c r="T83" s="36">
        <v>0.82209550545205401</v>
      </c>
      <c r="U83" s="33">
        <v>60</v>
      </c>
      <c r="V83" s="37">
        <v>579397.2331015243</v>
      </c>
      <c r="W83" s="37">
        <f>Tabla1[[#This Row],[V.I. Adj]]/1000000</f>
        <v>0.57939723310152424</v>
      </c>
      <c r="X83" s="37">
        <v>54691</v>
      </c>
      <c r="Y83" s="37">
        <v>1347</v>
      </c>
      <c r="Z83" s="54">
        <v>56038</v>
      </c>
      <c r="AA83" s="54">
        <v>20</v>
      </c>
      <c r="AB83" s="55">
        <v>7.0000000000000007E-2</v>
      </c>
      <c r="AC83" s="7" t="s">
        <v>317</v>
      </c>
      <c r="AD83" s="7" t="s">
        <v>510</v>
      </c>
      <c r="AE83" s="7" t="s">
        <v>317</v>
      </c>
      <c r="AF83" s="7" t="s">
        <v>527</v>
      </c>
      <c r="AG83" s="40" t="s">
        <v>319</v>
      </c>
      <c r="AH83" s="41">
        <v>42936</v>
      </c>
      <c r="AI83" s="41">
        <v>42966</v>
      </c>
      <c r="AJ83" s="49" t="s">
        <v>317</v>
      </c>
      <c r="AK83" s="42">
        <v>43409</v>
      </c>
      <c r="AM83" s="43" t="s">
        <v>527</v>
      </c>
    </row>
    <row r="84" spans="1:39" s="7" customFormat="1" x14ac:dyDescent="0.25">
      <c r="A84" s="7" t="str">
        <f>+MID(Tabla1[[#This Row],[N° Decreto
Expansión]],1,4)</f>
        <v>2017</v>
      </c>
      <c r="B84" s="7" t="str">
        <f>+RIGHT(Tabla1[[#This Row],[N° Decreto
Expansión]],3)</f>
        <v>418</v>
      </c>
      <c r="C84" s="32" t="s">
        <v>306</v>
      </c>
      <c r="D84" s="7" t="s">
        <v>307</v>
      </c>
      <c r="E84" s="7" t="s">
        <v>479</v>
      </c>
      <c r="F84" s="7" t="s">
        <v>480</v>
      </c>
      <c r="G84" s="45" t="s">
        <v>309</v>
      </c>
      <c r="H84" s="7" t="s">
        <v>310</v>
      </c>
      <c r="I84" s="7" t="s">
        <v>311</v>
      </c>
      <c r="J84" s="7">
        <v>1</v>
      </c>
      <c r="K84" s="33" t="s">
        <v>33</v>
      </c>
      <c r="L84" s="7" t="s">
        <v>443</v>
      </c>
      <c r="M84" s="7" t="s">
        <v>443</v>
      </c>
      <c r="N84" s="7" t="s">
        <v>528</v>
      </c>
      <c r="O84" s="7" t="s">
        <v>509</v>
      </c>
      <c r="P84" s="7" t="s">
        <v>311</v>
      </c>
      <c r="Q84" s="34">
        <v>43396</v>
      </c>
      <c r="R84" s="35" t="s">
        <v>483</v>
      </c>
      <c r="S84" s="34">
        <v>43708</v>
      </c>
      <c r="T84" s="36">
        <v>2.0605357707528933</v>
      </c>
      <c r="U84" s="33">
        <v>60</v>
      </c>
      <c r="V84" s="37">
        <v>1104934.4977788446</v>
      </c>
      <c r="W84" s="37">
        <f>Tabla1[[#This Row],[V.I. Adj]]/1000000</f>
        <v>1.1049344977788444</v>
      </c>
      <c r="X84" s="37">
        <v>104298</v>
      </c>
      <c r="Y84" s="37">
        <v>3383</v>
      </c>
      <c r="Z84" s="54">
        <v>107681</v>
      </c>
      <c r="AA84" s="54">
        <v>20</v>
      </c>
      <c r="AB84" s="55">
        <v>7.0000000000000007E-2</v>
      </c>
      <c r="AC84" s="7" t="s">
        <v>317</v>
      </c>
      <c r="AD84" s="7" t="s">
        <v>510</v>
      </c>
      <c r="AE84" s="7" t="s">
        <v>317</v>
      </c>
      <c r="AF84" s="7" t="s">
        <v>529</v>
      </c>
      <c r="AG84" s="40" t="s">
        <v>319</v>
      </c>
      <c r="AH84" s="41">
        <v>42936</v>
      </c>
      <c r="AI84" s="41">
        <v>42966</v>
      </c>
      <c r="AJ84" s="49" t="s">
        <v>317</v>
      </c>
      <c r="AK84" s="42">
        <v>43409</v>
      </c>
      <c r="AM84" s="43" t="s">
        <v>529</v>
      </c>
    </row>
    <row r="85" spans="1:39" s="7" customFormat="1" x14ac:dyDescent="0.25">
      <c r="A85" s="7" t="str">
        <f>+MID(Tabla1[[#This Row],[N° Decreto
Expansión]],1,4)</f>
        <v>2017</v>
      </c>
      <c r="B85" s="7" t="str">
        <f>+RIGHT(Tabla1[[#This Row],[N° Decreto
Expansión]],3)</f>
        <v>418</v>
      </c>
      <c r="C85" s="32" t="s">
        <v>306</v>
      </c>
      <c r="D85" s="7" t="s">
        <v>307</v>
      </c>
      <c r="E85" s="7" t="s">
        <v>479</v>
      </c>
      <c r="F85" s="7" t="s">
        <v>480</v>
      </c>
      <c r="G85" s="45" t="s">
        <v>309</v>
      </c>
      <c r="H85" s="7" t="s">
        <v>310</v>
      </c>
      <c r="I85" s="7" t="s">
        <v>311</v>
      </c>
      <c r="J85" s="7">
        <v>1</v>
      </c>
      <c r="K85" s="33" t="s">
        <v>33</v>
      </c>
      <c r="L85" s="7" t="s">
        <v>443</v>
      </c>
      <c r="M85" s="7" t="s">
        <v>443</v>
      </c>
      <c r="N85" s="7" t="s">
        <v>530</v>
      </c>
      <c r="O85" s="7" t="s">
        <v>509</v>
      </c>
      <c r="P85" s="7" t="s">
        <v>311</v>
      </c>
      <c r="Q85" s="34">
        <v>43396</v>
      </c>
      <c r="R85" s="35" t="s">
        <v>483</v>
      </c>
      <c r="S85" s="34">
        <v>43708</v>
      </c>
      <c r="T85" s="36">
        <v>6.5968926706829141</v>
      </c>
      <c r="U85" s="33">
        <v>60</v>
      </c>
      <c r="V85" s="37">
        <v>6596892.6706829127</v>
      </c>
      <c r="W85" s="37">
        <f>Tabla1[[#This Row],[V.I. Adj]]/1000000</f>
        <v>6.5968926706829123</v>
      </c>
      <c r="X85" s="37">
        <v>622700</v>
      </c>
      <c r="Y85" s="37">
        <v>98800</v>
      </c>
      <c r="Z85" s="54">
        <v>721500</v>
      </c>
      <c r="AA85" s="54">
        <v>20</v>
      </c>
      <c r="AB85" s="55">
        <v>7.0000000000000007E-2</v>
      </c>
      <c r="AC85" s="7" t="s">
        <v>317</v>
      </c>
      <c r="AD85" s="7" t="s">
        <v>510</v>
      </c>
      <c r="AE85" s="7" t="s">
        <v>317</v>
      </c>
      <c r="AF85" s="7" t="s">
        <v>531</v>
      </c>
      <c r="AG85" s="40" t="s">
        <v>319</v>
      </c>
      <c r="AH85" s="41">
        <v>42936</v>
      </c>
      <c r="AI85" s="41">
        <v>42966</v>
      </c>
      <c r="AJ85" s="49" t="s">
        <v>317</v>
      </c>
      <c r="AK85" s="42">
        <v>43409</v>
      </c>
      <c r="AM85" s="43" t="s">
        <v>531</v>
      </c>
    </row>
    <row r="86" spans="1:39" s="7" customFormat="1" x14ac:dyDescent="0.25">
      <c r="A86" s="7" t="str">
        <f>+MID(Tabla1[[#This Row],[N° Decreto
Expansión]],1,4)</f>
        <v>2017</v>
      </c>
      <c r="B86" s="7" t="str">
        <f>+RIGHT(Tabla1[[#This Row],[N° Decreto
Expansión]],3)</f>
        <v>418</v>
      </c>
      <c r="C86" s="32" t="s">
        <v>306</v>
      </c>
      <c r="D86" s="7" t="s">
        <v>307</v>
      </c>
      <c r="E86" s="7" t="s">
        <v>479</v>
      </c>
      <c r="F86" s="7" t="s">
        <v>480</v>
      </c>
      <c r="G86" s="45" t="s">
        <v>309</v>
      </c>
      <c r="H86" s="7" t="s">
        <v>358</v>
      </c>
      <c r="I86" s="7" t="s">
        <v>391</v>
      </c>
      <c r="J86" s="7">
        <v>1</v>
      </c>
      <c r="K86" s="33" t="s">
        <v>312</v>
      </c>
      <c r="L86" s="7" t="s">
        <v>443</v>
      </c>
      <c r="M86" s="7" t="s">
        <v>443</v>
      </c>
      <c r="N86" s="7" t="s">
        <v>532</v>
      </c>
      <c r="O86" s="7" t="s">
        <v>361</v>
      </c>
      <c r="P86" s="7" t="s">
        <v>319</v>
      </c>
      <c r="Q86" s="33" t="s">
        <v>317</v>
      </c>
      <c r="R86" s="33" t="s">
        <v>317</v>
      </c>
      <c r="S86" s="33" t="s">
        <v>317</v>
      </c>
      <c r="T86" s="36">
        <v>12.10048307122856</v>
      </c>
      <c r="U86" s="33">
        <v>28</v>
      </c>
      <c r="V86" s="46" t="s">
        <v>319</v>
      </c>
      <c r="W86" s="51" t="s">
        <v>319</v>
      </c>
      <c r="X86" s="48" t="s">
        <v>317</v>
      </c>
      <c r="Y86" s="48" t="s">
        <v>317</v>
      </c>
      <c r="Z86" s="48" t="s">
        <v>317</v>
      </c>
      <c r="AA86" s="48" t="s">
        <v>317</v>
      </c>
      <c r="AB86" s="48" t="s">
        <v>317</v>
      </c>
      <c r="AC86" s="7" t="s">
        <v>317</v>
      </c>
      <c r="AD86" s="7" t="s">
        <v>533</v>
      </c>
      <c r="AE86" s="7" t="s">
        <v>317</v>
      </c>
      <c r="AF86" s="7" t="s">
        <v>534</v>
      </c>
      <c r="AG86" s="40" t="s">
        <v>319</v>
      </c>
      <c r="AH86" s="41">
        <v>42936</v>
      </c>
      <c r="AI86" s="41">
        <v>42966</v>
      </c>
      <c r="AJ86" s="49" t="s">
        <v>317</v>
      </c>
      <c r="AK86" s="42">
        <v>44515</v>
      </c>
      <c r="AM86" s="43" t="s">
        <v>534</v>
      </c>
    </row>
    <row r="87" spans="1:39" s="7" customFormat="1" x14ac:dyDescent="0.25">
      <c r="A87" s="7" t="str">
        <f>+MID(Tabla1[[#This Row],[N° Decreto
Expansión]],1,4)</f>
        <v>2017</v>
      </c>
      <c r="B87" s="7" t="str">
        <f>+RIGHT(Tabla1[[#This Row],[N° Decreto
Expansión]],3)</f>
        <v>418</v>
      </c>
      <c r="C87" s="32" t="s">
        <v>306</v>
      </c>
      <c r="D87" s="7" t="s">
        <v>307</v>
      </c>
      <c r="E87" s="7" t="s">
        <v>479</v>
      </c>
      <c r="F87" s="7" t="s">
        <v>480</v>
      </c>
      <c r="G87" s="45" t="s">
        <v>309</v>
      </c>
      <c r="H87" s="7" t="s">
        <v>358</v>
      </c>
      <c r="I87" s="7" t="s">
        <v>391</v>
      </c>
      <c r="J87" s="7">
        <v>1</v>
      </c>
      <c r="K87" s="33" t="s">
        <v>33</v>
      </c>
      <c r="L87" s="7" t="s">
        <v>443</v>
      </c>
      <c r="M87" s="7" t="s">
        <v>443</v>
      </c>
      <c r="N87" s="7" t="s">
        <v>535</v>
      </c>
      <c r="O87" s="7" t="s">
        <v>361</v>
      </c>
      <c r="P87" s="7" t="s">
        <v>319</v>
      </c>
      <c r="Q87" s="33" t="s">
        <v>317</v>
      </c>
      <c r="R87" s="33" t="s">
        <v>317</v>
      </c>
      <c r="S87" s="33" t="s">
        <v>317</v>
      </c>
      <c r="T87" s="36">
        <v>2.9356013474325282</v>
      </c>
      <c r="U87" s="33">
        <v>36</v>
      </c>
      <c r="V87" s="46" t="s">
        <v>319</v>
      </c>
      <c r="W87" s="51" t="s">
        <v>319</v>
      </c>
      <c r="X87" s="48" t="s">
        <v>317</v>
      </c>
      <c r="Y87" s="48" t="s">
        <v>317</v>
      </c>
      <c r="Z87" s="48" t="s">
        <v>317</v>
      </c>
      <c r="AA87" s="48" t="s">
        <v>317</v>
      </c>
      <c r="AB87" s="48" t="s">
        <v>317</v>
      </c>
      <c r="AC87" s="7" t="s">
        <v>317</v>
      </c>
      <c r="AD87" s="7" t="s">
        <v>533</v>
      </c>
      <c r="AE87" s="7" t="s">
        <v>317</v>
      </c>
      <c r="AF87" s="7" t="s">
        <v>536</v>
      </c>
      <c r="AG87" s="40" t="s">
        <v>319</v>
      </c>
      <c r="AH87" s="41">
        <v>42936</v>
      </c>
      <c r="AI87" s="41">
        <v>42966</v>
      </c>
      <c r="AJ87" s="49" t="s">
        <v>317</v>
      </c>
      <c r="AK87" s="42">
        <v>44515</v>
      </c>
      <c r="AM87" s="43" t="s">
        <v>536</v>
      </c>
    </row>
    <row r="88" spans="1:39" s="7" customFormat="1" x14ac:dyDescent="0.25">
      <c r="A88" s="7" t="str">
        <f>+MID(Tabla1[[#This Row],[N° Decreto
Expansión]],1,4)</f>
        <v>2017</v>
      </c>
      <c r="B88" s="7" t="str">
        <f>+RIGHT(Tabla1[[#This Row],[N° Decreto
Expansión]],3)</f>
        <v>418</v>
      </c>
      <c r="C88" s="32" t="s">
        <v>306</v>
      </c>
      <c r="D88" s="7" t="s">
        <v>307</v>
      </c>
      <c r="E88" s="7" t="s">
        <v>479</v>
      </c>
      <c r="F88" s="7" t="s">
        <v>480</v>
      </c>
      <c r="G88" s="45" t="s">
        <v>309</v>
      </c>
      <c r="H88" s="7" t="s">
        <v>310</v>
      </c>
      <c r="I88" s="7" t="s">
        <v>311</v>
      </c>
      <c r="J88" s="7">
        <v>1</v>
      </c>
      <c r="K88" s="33" t="s">
        <v>312</v>
      </c>
      <c r="L88" s="7" t="s">
        <v>443</v>
      </c>
      <c r="M88" s="7" t="s">
        <v>443</v>
      </c>
      <c r="N88" s="7" t="s">
        <v>537</v>
      </c>
      <c r="O88" s="7" t="s">
        <v>500</v>
      </c>
      <c r="P88" s="7" t="s">
        <v>311</v>
      </c>
      <c r="Q88" s="34">
        <v>43396</v>
      </c>
      <c r="R88" s="35" t="s">
        <v>483</v>
      </c>
      <c r="S88" s="34">
        <v>43708</v>
      </c>
      <c r="T88" s="36">
        <v>14.450235430884042</v>
      </c>
      <c r="U88" s="33">
        <v>28</v>
      </c>
      <c r="V88" s="37">
        <v>11598104.321691936</v>
      </c>
      <c r="W88" s="37">
        <f>Tabla1[[#This Row],[V.I. Adj]]/1000000</f>
        <v>11.598104321691936</v>
      </c>
      <c r="X88" s="37">
        <v>1094779</v>
      </c>
      <c r="Y88" s="37">
        <v>259687</v>
      </c>
      <c r="Z88" s="54">
        <v>1354466</v>
      </c>
      <c r="AA88" s="54">
        <v>20</v>
      </c>
      <c r="AB88" s="55">
        <v>7.0000000000000007E-2</v>
      </c>
      <c r="AC88" s="7" t="s">
        <v>317</v>
      </c>
      <c r="AD88" s="7" t="s">
        <v>317</v>
      </c>
      <c r="AE88" s="7" t="s">
        <v>317</v>
      </c>
      <c r="AF88" s="7" t="s">
        <v>538</v>
      </c>
      <c r="AG88" s="40" t="s">
        <v>319</v>
      </c>
      <c r="AH88" s="41">
        <v>42936</v>
      </c>
      <c r="AI88" s="41">
        <v>42966</v>
      </c>
      <c r="AJ88" s="49" t="s">
        <v>317</v>
      </c>
      <c r="AK88" s="42">
        <v>43409</v>
      </c>
      <c r="AM88" s="43" t="s">
        <v>538</v>
      </c>
    </row>
    <row r="89" spans="1:39" s="7" customFormat="1" x14ac:dyDescent="0.25">
      <c r="A89" s="7" t="str">
        <f>+MID(Tabla1[[#This Row],[N° Decreto
Expansión]],1,4)</f>
        <v>2017</v>
      </c>
      <c r="B89" s="7" t="str">
        <f>+RIGHT(Tabla1[[#This Row],[N° Decreto
Expansión]],3)</f>
        <v>418</v>
      </c>
      <c r="C89" s="32" t="s">
        <v>306</v>
      </c>
      <c r="D89" s="7" t="s">
        <v>307</v>
      </c>
      <c r="E89" s="7" t="s">
        <v>479</v>
      </c>
      <c r="F89" s="7" t="s">
        <v>480</v>
      </c>
      <c r="G89" s="45" t="s">
        <v>309</v>
      </c>
      <c r="H89" s="7" t="s">
        <v>310</v>
      </c>
      <c r="I89" s="7" t="s">
        <v>311</v>
      </c>
      <c r="J89" s="7">
        <v>1</v>
      </c>
      <c r="K89" s="33" t="s">
        <v>312</v>
      </c>
      <c r="L89" s="7" t="s">
        <v>539</v>
      </c>
      <c r="M89" s="7" t="s">
        <v>539</v>
      </c>
      <c r="N89" s="7" t="s">
        <v>540</v>
      </c>
      <c r="O89" s="7" t="s">
        <v>500</v>
      </c>
      <c r="P89" s="7" t="s">
        <v>311</v>
      </c>
      <c r="Q89" s="34">
        <v>43396</v>
      </c>
      <c r="R89" s="35" t="s">
        <v>483</v>
      </c>
      <c r="S89" s="34">
        <v>43708</v>
      </c>
      <c r="T89" s="36">
        <v>12.954360619417161</v>
      </c>
      <c r="U89" s="33">
        <v>36</v>
      </c>
      <c r="V89" s="37">
        <v>10261701.206662809</v>
      </c>
      <c r="W89" s="37">
        <f>Tabla1[[#This Row],[V.I. Adj]]/1000000</f>
        <v>10.26170120666281</v>
      </c>
      <c r="X89" s="37">
        <v>968632</v>
      </c>
      <c r="Y89" s="37">
        <v>232320</v>
      </c>
      <c r="Z89" s="54">
        <v>1200952</v>
      </c>
      <c r="AA89" s="54">
        <v>20</v>
      </c>
      <c r="AB89" s="55">
        <v>7.0000000000000007E-2</v>
      </c>
      <c r="AC89" s="7" t="s">
        <v>317</v>
      </c>
      <c r="AD89" s="7" t="s">
        <v>541</v>
      </c>
      <c r="AE89" s="7" t="s">
        <v>317</v>
      </c>
      <c r="AF89" s="7" t="s">
        <v>542</v>
      </c>
      <c r="AG89" s="40" t="s">
        <v>319</v>
      </c>
      <c r="AH89" s="41">
        <v>42936</v>
      </c>
      <c r="AI89" s="41">
        <v>42966</v>
      </c>
      <c r="AJ89" s="49" t="s">
        <v>317</v>
      </c>
      <c r="AK89" s="42">
        <v>43409</v>
      </c>
      <c r="AM89" s="43" t="s">
        <v>542</v>
      </c>
    </row>
    <row r="90" spans="1:39" s="7" customFormat="1" x14ac:dyDescent="0.25">
      <c r="A90" s="7" t="str">
        <f>+MID(Tabla1[[#This Row],[N° Decreto
Expansión]],1,4)</f>
        <v>2017</v>
      </c>
      <c r="B90" s="7" t="str">
        <f>+RIGHT(Tabla1[[#This Row],[N° Decreto
Expansión]],3)</f>
        <v>418</v>
      </c>
      <c r="C90" s="32" t="s">
        <v>306</v>
      </c>
      <c r="D90" s="7" t="s">
        <v>307</v>
      </c>
      <c r="E90" s="7" t="s">
        <v>479</v>
      </c>
      <c r="F90" s="7" t="s">
        <v>480</v>
      </c>
      <c r="G90" s="45" t="s">
        <v>309</v>
      </c>
      <c r="H90" s="7" t="s">
        <v>310</v>
      </c>
      <c r="I90" s="7" t="s">
        <v>311</v>
      </c>
      <c r="J90" s="7">
        <v>1</v>
      </c>
      <c r="K90" s="33" t="s">
        <v>33</v>
      </c>
      <c r="L90" s="7" t="s">
        <v>443</v>
      </c>
      <c r="M90" s="7" t="s">
        <v>443</v>
      </c>
      <c r="N90" s="7" t="s">
        <v>543</v>
      </c>
      <c r="O90" s="7" t="s">
        <v>500</v>
      </c>
      <c r="P90" s="7" t="s">
        <v>311</v>
      </c>
      <c r="Q90" s="34">
        <v>43396</v>
      </c>
      <c r="R90" s="35" t="s">
        <v>483</v>
      </c>
      <c r="S90" s="34">
        <v>43708</v>
      </c>
      <c r="T90" s="36">
        <v>2.8296612049773673</v>
      </c>
      <c r="U90" s="33">
        <v>36</v>
      </c>
      <c r="V90" s="37">
        <v>1526989.4313059628</v>
      </c>
      <c r="W90" s="37">
        <f>Tabla1[[#This Row],[V.I. Adj]]/1000000</f>
        <v>1.5269894313059629</v>
      </c>
      <c r="X90" s="37">
        <v>144137</v>
      </c>
      <c r="Y90" s="37">
        <v>25205</v>
      </c>
      <c r="Z90" s="54">
        <v>169342</v>
      </c>
      <c r="AA90" s="54">
        <v>20</v>
      </c>
      <c r="AB90" s="55">
        <v>7.0000000000000007E-2</v>
      </c>
      <c r="AC90" s="7" t="s">
        <v>317</v>
      </c>
      <c r="AD90" s="7" t="s">
        <v>541</v>
      </c>
      <c r="AE90" s="7" t="s">
        <v>317</v>
      </c>
      <c r="AF90" s="7" t="s">
        <v>544</v>
      </c>
      <c r="AG90" s="40" t="s">
        <v>319</v>
      </c>
      <c r="AH90" s="41">
        <v>42936</v>
      </c>
      <c r="AI90" s="41">
        <v>42966</v>
      </c>
      <c r="AJ90" s="49" t="s">
        <v>317</v>
      </c>
      <c r="AK90" s="42">
        <v>43409</v>
      </c>
      <c r="AM90" s="43" t="s">
        <v>544</v>
      </c>
    </row>
    <row r="91" spans="1:39" s="7" customFormat="1" x14ac:dyDescent="0.25">
      <c r="A91" s="7" t="str">
        <f>+MID(Tabla1[[#This Row],[N° Decreto
Expansión]],1,4)</f>
        <v>2017</v>
      </c>
      <c r="B91" s="7" t="str">
        <f>+RIGHT(Tabla1[[#This Row],[N° Decreto
Expansión]],3)</f>
        <v>418</v>
      </c>
      <c r="C91" s="32" t="s">
        <v>306</v>
      </c>
      <c r="D91" s="7" t="s">
        <v>307</v>
      </c>
      <c r="E91" s="7" t="s">
        <v>479</v>
      </c>
      <c r="F91" s="7" t="s">
        <v>480</v>
      </c>
      <c r="G91" s="45" t="s">
        <v>309</v>
      </c>
      <c r="H91" s="7" t="s">
        <v>310</v>
      </c>
      <c r="I91" s="7" t="s">
        <v>311</v>
      </c>
      <c r="J91" s="7">
        <v>1</v>
      </c>
      <c r="K91" s="33" t="s">
        <v>312</v>
      </c>
      <c r="L91" s="7" t="s">
        <v>463</v>
      </c>
      <c r="M91" s="7" t="s">
        <v>463</v>
      </c>
      <c r="N91" s="7" t="s">
        <v>545</v>
      </c>
      <c r="O91" s="7" t="s">
        <v>34</v>
      </c>
      <c r="P91" s="7" t="s">
        <v>311</v>
      </c>
      <c r="Q91" s="34">
        <v>43396</v>
      </c>
      <c r="R91" s="35" t="s">
        <v>483</v>
      </c>
      <c r="S91" s="34">
        <v>43708</v>
      </c>
      <c r="T91" s="36">
        <v>15.758596190205289</v>
      </c>
      <c r="U91" s="33">
        <v>28</v>
      </c>
      <c r="V91" s="37">
        <v>12575094.909427682</v>
      </c>
      <c r="W91" s="37">
        <f>Tabla1[[#This Row],[V.I. Adj]]/1000000</f>
        <v>12.575094909427682</v>
      </c>
      <c r="X91" s="37">
        <v>1187000</v>
      </c>
      <c r="Y91" s="37">
        <v>246000</v>
      </c>
      <c r="Z91" s="54">
        <v>1433000</v>
      </c>
      <c r="AA91" s="54">
        <v>20</v>
      </c>
      <c r="AB91" s="55">
        <v>7.0000000000000007E-2</v>
      </c>
      <c r="AC91" s="7" t="s">
        <v>317</v>
      </c>
      <c r="AD91" s="7" t="s">
        <v>317</v>
      </c>
      <c r="AE91" s="7" t="s">
        <v>317</v>
      </c>
      <c r="AF91" s="7" t="s">
        <v>546</v>
      </c>
      <c r="AG91" s="40" t="s">
        <v>319</v>
      </c>
      <c r="AH91" s="41">
        <v>42936</v>
      </c>
      <c r="AI91" s="41">
        <v>42966</v>
      </c>
      <c r="AJ91" s="49" t="s">
        <v>317</v>
      </c>
      <c r="AK91" s="42">
        <v>43409</v>
      </c>
      <c r="AM91" s="43" t="s">
        <v>546</v>
      </c>
    </row>
    <row r="92" spans="1:39" s="7" customFormat="1" x14ac:dyDescent="0.25">
      <c r="A92" s="7" t="str">
        <f>+MID(Tabla1[[#This Row],[N° Decreto
Expansión]],1,4)</f>
        <v>2017</v>
      </c>
      <c r="B92" s="7" t="str">
        <f>+RIGHT(Tabla1[[#This Row],[N° Decreto
Expansión]],3)</f>
        <v>418</v>
      </c>
      <c r="C92" s="32" t="s">
        <v>306</v>
      </c>
      <c r="D92" s="7" t="s">
        <v>307</v>
      </c>
      <c r="E92" s="7" t="s">
        <v>479</v>
      </c>
      <c r="F92" s="7" t="s">
        <v>480</v>
      </c>
      <c r="G92" s="45" t="s">
        <v>309</v>
      </c>
      <c r="H92" s="7" t="s">
        <v>310</v>
      </c>
      <c r="I92" s="7" t="s">
        <v>311</v>
      </c>
      <c r="J92" s="7">
        <v>1</v>
      </c>
      <c r="K92" s="33" t="s">
        <v>312</v>
      </c>
      <c r="L92" s="7" t="s">
        <v>463</v>
      </c>
      <c r="M92" s="7" t="s">
        <v>463</v>
      </c>
      <c r="N92" s="7" t="s">
        <v>547</v>
      </c>
      <c r="O92" s="7" t="s">
        <v>500</v>
      </c>
      <c r="P92" s="7" t="s">
        <v>311</v>
      </c>
      <c r="Q92" s="34">
        <v>43396</v>
      </c>
      <c r="R92" s="35" t="s">
        <v>483</v>
      </c>
      <c r="S92" s="34">
        <v>43708</v>
      </c>
      <c r="T92" s="36">
        <v>19.409293499210154</v>
      </c>
      <c r="U92" s="33">
        <v>28</v>
      </c>
      <c r="V92" s="37">
        <v>15325587.045948308</v>
      </c>
      <c r="W92" s="37">
        <f>Tabla1[[#This Row],[V.I. Adj]]/1000000</f>
        <v>15.325587045948309</v>
      </c>
      <c r="X92" s="37">
        <v>1446627</v>
      </c>
      <c r="Y92" s="37">
        <v>319127</v>
      </c>
      <c r="Z92" s="54">
        <v>1765754</v>
      </c>
      <c r="AA92" s="54">
        <v>20</v>
      </c>
      <c r="AB92" s="55">
        <v>7.0000000000000007E-2</v>
      </c>
      <c r="AC92" s="7" t="s">
        <v>317</v>
      </c>
      <c r="AD92" s="7" t="s">
        <v>548</v>
      </c>
      <c r="AE92" s="7" t="s">
        <v>317</v>
      </c>
      <c r="AF92" s="7" t="s">
        <v>549</v>
      </c>
      <c r="AG92" s="40" t="s">
        <v>319</v>
      </c>
      <c r="AH92" s="41">
        <v>42936</v>
      </c>
      <c r="AI92" s="41">
        <v>42966</v>
      </c>
      <c r="AJ92" s="49" t="s">
        <v>317</v>
      </c>
      <c r="AK92" s="42">
        <v>43409</v>
      </c>
      <c r="AM92" s="43" t="s">
        <v>549</v>
      </c>
    </row>
    <row r="93" spans="1:39" s="7" customFormat="1" x14ac:dyDescent="0.25">
      <c r="A93" s="7" t="str">
        <f>+MID(Tabla1[[#This Row],[N° Decreto
Expansión]],1,4)</f>
        <v>2017</v>
      </c>
      <c r="B93" s="7" t="str">
        <f>+RIGHT(Tabla1[[#This Row],[N° Decreto
Expansión]],3)</f>
        <v>418</v>
      </c>
      <c r="C93" s="32" t="s">
        <v>306</v>
      </c>
      <c r="D93" s="7" t="s">
        <v>307</v>
      </c>
      <c r="E93" s="7" t="s">
        <v>479</v>
      </c>
      <c r="F93" s="7" t="s">
        <v>480</v>
      </c>
      <c r="G93" s="45" t="s">
        <v>309</v>
      </c>
      <c r="H93" s="7" t="s">
        <v>310</v>
      </c>
      <c r="I93" s="7" t="s">
        <v>311</v>
      </c>
      <c r="J93" s="7">
        <v>1</v>
      </c>
      <c r="K93" s="33" t="s">
        <v>312</v>
      </c>
      <c r="L93" s="7" t="s">
        <v>463</v>
      </c>
      <c r="M93" s="7" t="s">
        <v>463</v>
      </c>
      <c r="N93" s="7" t="s">
        <v>550</v>
      </c>
      <c r="O93" s="7" t="s">
        <v>500</v>
      </c>
      <c r="P93" s="7" t="s">
        <v>311</v>
      </c>
      <c r="Q93" s="34">
        <v>43396</v>
      </c>
      <c r="R93" s="35" t="s">
        <v>483</v>
      </c>
      <c r="S93" s="34">
        <v>43708</v>
      </c>
      <c r="T93" s="36">
        <v>5.1836511703310579</v>
      </c>
      <c r="U93" s="33">
        <v>28</v>
      </c>
      <c r="V93" s="37">
        <v>5384672.5906397272</v>
      </c>
      <c r="W93" s="37">
        <f>Tabla1[[#This Row],[V.I. Adj]]/1000000</f>
        <v>5.3846725906397275</v>
      </c>
      <c r="X93" s="37">
        <v>508275</v>
      </c>
      <c r="Y93" s="37">
        <v>112126</v>
      </c>
      <c r="Z93" s="54">
        <v>620401</v>
      </c>
      <c r="AA93" s="54">
        <v>20</v>
      </c>
      <c r="AB93" s="55">
        <v>7.0000000000000007E-2</v>
      </c>
      <c r="AC93" s="7" t="s">
        <v>317</v>
      </c>
      <c r="AD93" s="7" t="s">
        <v>548</v>
      </c>
      <c r="AE93" s="7" t="s">
        <v>317</v>
      </c>
      <c r="AF93" s="7" t="s">
        <v>551</v>
      </c>
      <c r="AG93" s="40" t="s">
        <v>319</v>
      </c>
      <c r="AH93" s="41">
        <v>42936</v>
      </c>
      <c r="AI93" s="41">
        <v>42966</v>
      </c>
      <c r="AJ93" s="49" t="s">
        <v>317</v>
      </c>
      <c r="AK93" s="42">
        <v>43409</v>
      </c>
      <c r="AM93" s="43" t="s">
        <v>551</v>
      </c>
    </row>
    <row r="94" spans="1:39" s="7" customFormat="1" x14ac:dyDescent="0.25">
      <c r="A94" s="7" t="str">
        <f>+MID(Tabla1[[#This Row],[N° Decreto
Expansión]],1,4)</f>
        <v>2017</v>
      </c>
      <c r="B94" s="7" t="str">
        <f>+RIGHT(Tabla1[[#This Row],[N° Decreto
Expansión]],3)</f>
        <v>418</v>
      </c>
      <c r="C94" s="32" t="s">
        <v>306</v>
      </c>
      <c r="D94" s="7" t="s">
        <v>307</v>
      </c>
      <c r="E94" s="7" t="s">
        <v>479</v>
      </c>
      <c r="F94" s="7" t="s">
        <v>480</v>
      </c>
      <c r="G94" s="45" t="s">
        <v>309</v>
      </c>
      <c r="H94" s="7" t="s">
        <v>310</v>
      </c>
      <c r="I94" s="7" t="s">
        <v>311</v>
      </c>
      <c r="J94" s="7">
        <v>1</v>
      </c>
      <c r="K94" s="33" t="s">
        <v>33</v>
      </c>
      <c r="L94" s="7" t="s">
        <v>463</v>
      </c>
      <c r="M94" s="7" t="s">
        <v>463</v>
      </c>
      <c r="N94" s="7" t="s">
        <v>552</v>
      </c>
      <c r="O94" s="7" t="s">
        <v>500</v>
      </c>
      <c r="P94" s="7" t="s">
        <v>311</v>
      </c>
      <c r="Q94" s="34">
        <v>43396</v>
      </c>
      <c r="R94" s="35" t="s">
        <v>483</v>
      </c>
      <c r="S94" s="34">
        <v>43708</v>
      </c>
      <c r="T94" s="36">
        <v>15.497983439765592</v>
      </c>
      <c r="U94" s="33">
        <v>48</v>
      </c>
      <c r="V94" s="37">
        <v>7068114.4243234722</v>
      </c>
      <c r="W94" s="37">
        <f>Tabla1[[#This Row],[V.I. Adj]]/1000000</f>
        <v>7.0681144243234719</v>
      </c>
      <c r="X94" s="37">
        <v>667180</v>
      </c>
      <c r="Y94" s="37">
        <v>181249</v>
      </c>
      <c r="Z94" s="54">
        <v>848429</v>
      </c>
      <c r="AA94" s="54">
        <v>20</v>
      </c>
      <c r="AB94" s="55">
        <v>7.0000000000000007E-2</v>
      </c>
      <c r="AC94" s="7" t="s">
        <v>317</v>
      </c>
      <c r="AD94" s="7" t="s">
        <v>548</v>
      </c>
      <c r="AE94" s="7" t="s">
        <v>317</v>
      </c>
      <c r="AF94" s="7" t="s">
        <v>553</v>
      </c>
      <c r="AG94" s="40" t="s">
        <v>319</v>
      </c>
      <c r="AH94" s="41">
        <v>42936</v>
      </c>
      <c r="AI94" s="41">
        <v>42966</v>
      </c>
      <c r="AJ94" s="49" t="s">
        <v>317</v>
      </c>
      <c r="AK94" s="42">
        <v>43409</v>
      </c>
      <c r="AM94" s="43" t="s">
        <v>553</v>
      </c>
    </row>
    <row r="95" spans="1:39" s="7" customFormat="1" x14ac:dyDescent="0.25">
      <c r="A95" s="7" t="str">
        <f>+MID(Tabla1[[#This Row],[N° Decreto
Expansión]],1,4)</f>
        <v>2017</v>
      </c>
      <c r="B95" s="7" t="str">
        <f>+RIGHT(Tabla1[[#This Row],[N° Decreto
Expansión]],3)</f>
        <v>418</v>
      </c>
      <c r="C95" s="32" t="s">
        <v>306</v>
      </c>
      <c r="D95" s="7" t="s">
        <v>307</v>
      </c>
      <c r="E95" s="7" t="s">
        <v>479</v>
      </c>
      <c r="F95" s="7" t="s">
        <v>480</v>
      </c>
      <c r="G95" s="45" t="s">
        <v>309</v>
      </c>
      <c r="H95" s="7" t="s">
        <v>310</v>
      </c>
      <c r="I95" s="7" t="s">
        <v>311</v>
      </c>
      <c r="J95" s="7">
        <v>1</v>
      </c>
      <c r="K95" s="33" t="s">
        <v>33</v>
      </c>
      <c r="L95" s="7" t="s">
        <v>475</v>
      </c>
      <c r="M95" s="7" t="s">
        <v>475</v>
      </c>
      <c r="N95" s="7" t="s">
        <v>554</v>
      </c>
      <c r="O95" s="7" t="s">
        <v>482</v>
      </c>
      <c r="P95" s="7" t="s">
        <v>311</v>
      </c>
      <c r="Q95" s="34">
        <v>43396</v>
      </c>
      <c r="R95" s="35" t="s">
        <v>483</v>
      </c>
      <c r="S95" s="34">
        <v>43708</v>
      </c>
      <c r="T95" s="36">
        <v>6.6625755590051128</v>
      </c>
      <c r="U95" s="33">
        <v>36</v>
      </c>
      <c r="V95" s="37">
        <v>8119538.5561482143</v>
      </c>
      <c r="W95" s="37">
        <f>Tabla1[[#This Row],[V.I. Adj]]/1000000</f>
        <v>8.1195385561482141</v>
      </c>
      <c r="X95" s="37">
        <v>766427</v>
      </c>
      <c r="Y95" s="37">
        <v>95750</v>
      </c>
      <c r="Z95" s="54">
        <v>862177</v>
      </c>
      <c r="AA95" s="54">
        <v>20</v>
      </c>
      <c r="AB95" s="55">
        <v>7.0000000000000007E-2</v>
      </c>
      <c r="AC95" s="7" t="s">
        <v>317</v>
      </c>
      <c r="AD95" s="7" t="s">
        <v>317</v>
      </c>
      <c r="AE95" s="7" t="s">
        <v>317</v>
      </c>
      <c r="AF95" s="7" t="s">
        <v>555</v>
      </c>
      <c r="AG95" s="40" t="s">
        <v>319</v>
      </c>
      <c r="AH95" s="41">
        <v>42936</v>
      </c>
      <c r="AI95" s="41">
        <v>42966</v>
      </c>
      <c r="AJ95" s="49" t="s">
        <v>317</v>
      </c>
      <c r="AK95" s="42">
        <v>43409</v>
      </c>
      <c r="AM95" s="43" t="s">
        <v>555</v>
      </c>
    </row>
    <row r="96" spans="1:39" s="7" customFormat="1" x14ac:dyDescent="0.25">
      <c r="A96" s="7" t="str">
        <f>+MID(Tabla1[[#This Row],[N° Decreto
Expansión]],1,4)</f>
        <v>2017</v>
      </c>
      <c r="B96" s="7" t="str">
        <f>+RIGHT(Tabla1[[#This Row],[N° Decreto
Expansión]],3)</f>
        <v>418</v>
      </c>
      <c r="C96" s="32" t="s">
        <v>306</v>
      </c>
      <c r="D96" s="7" t="s">
        <v>307</v>
      </c>
      <c r="E96" s="7" t="s">
        <v>479</v>
      </c>
      <c r="F96" s="7" t="s">
        <v>480</v>
      </c>
      <c r="G96" s="45" t="s">
        <v>309</v>
      </c>
      <c r="H96" s="7" t="s">
        <v>310</v>
      </c>
      <c r="I96" s="7" t="s">
        <v>391</v>
      </c>
      <c r="J96" s="7">
        <v>1</v>
      </c>
      <c r="K96" s="33" t="s">
        <v>33</v>
      </c>
      <c r="L96" s="7" t="s">
        <v>556</v>
      </c>
      <c r="M96" s="7" t="s">
        <v>556</v>
      </c>
      <c r="N96" s="7" t="s">
        <v>557</v>
      </c>
      <c r="O96" s="7" t="s">
        <v>558</v>
      </c>
      <c r="P96" s="7" t="s">
        <v>559</v>
      </c>
      <c r="Q96" s="34">
        <v>44467</v>
      </c>
      <c r="R96" s="33" t="s">
        <v>317</v>
      </c>
      <c r="S96" s="33" t="s">
        <v>317</v>
      </c>
      <c r="T96" s="36">
        <v>7.6404030738662554</v>
      </c>
      <c r="U96" s="33">
        <v>60</v>
      </c>
      <c r="V96" s="56">
        <f>-PV(Tabla1[[#This Row],[Tasa]],Tabla1[[#This Row],[Periodo]],Tabla1[[#This Row],[AVI]])</f>
        <v>17130521.034999631</v>
      </c>
      <c r="W96" s="37">
        <f>Tabla1[[#This Row],[V.I. Adj]]/1000000</f>
        <v>17.130521034999632</v>
      </c>
      <c r="X96" s="37">
        <v>1617000</v>
      </c>
      <c r="Y96" s="37">
        <v>427000</v>
      </c>
      <c r="Z96" s="54">
        <f>+Tabla1[[#This Row],[AVI]]+Tabla1[[#This Row],[COMA]]</f>
        <v>2044000</v>
      </c>
      <c r="AA96" s="54">
        <v>20</v>
      </c>
      <c r="AB96" s="57">
        <v>7.0000000000000007E-2</v>
      </c>
      <c r="AC96" s="7" t="s">
        <v>317</v>
      </c>
      <c r="AD96" s="7" t="s">
        <v>317</v>
      </c>
      <c r="AE96" s="7" t="s">
        <v>317</v>
      </c>
      <c r="AF96" s="7" t="s">
        <v>560</v>
      </c>
      <c r="AG96" s="40" t="s">
        <v>319</v>
      </c>
      <c r="AH96" s="41">
        <v>42936</v>
      </c>
      <c r="AI96" s="41">
        <v>42966</v>
      </c>
      <c r="AJ96" s="49" t="s">
        <v>317</v>
      </c>
      <c r="AK96" s="42">
        <v>44515</v>
      </c>
      <c r="AM96" s="43" t="s">
        <v>560</v>
      </c>
    </row>
    <row r="97" spans="1:39" s="7" customFormat="1" x14ac:dyDescent="0.25">
      <c r="A97" s="7" t="str">
        <f>+MID(Tabla1[[#This Row],[N° Decreto
Expansión]],1,4)</f>
        <v>2017</v>
      </c>
      <c r="B97" s="7" t="str">
        <f>+RIGHT(Tabla1[[#This Row],[N° Decreto
Expansión]],3)</f>
        <v>422</v>
      </c>
      <c r="C97" s="32" t="s">
        <v>561</v>
      </c>
      <c r="D97" s="7" t="s">
        <v>562</v>
      </c>
      <c r="E97" s="7" t="s">
        <v>479</v>
      </c>
      <c r="F97" s="7" t="s">
        <v>480</v>
      </c>
      <c r="G97" s="45" t="s">
        <v>309</v>
      </c>
      <c r="H97" s="7" t="s">
        <v>310</v>
      </c>
      <c r="I97" s="7" t="s">
        <v>563</v>
      </c>
      <c r="J97" s="7">
        <v>1</v>
      </c>
      <c r="K97" s="33" t="s">
        <v>33</v>
      </c>
      <c r="L97" s="7" t="s">
        <v>334</v>
      </c>
      <c r="M97" s="7" t="s">
        <v>334</v>
      </c>
      <c r="N97" s="7" t="s">
        <v>564</v>
      </c>
      <c r="O97" s="7" t="s">
        <v>565</v>
      </c>
      <c r="P97" s="7" t="s">
        <v>563</v>
      </c>
      <c r="Q97" s="34">
        <v>43244</v>
      </c>
      <c r="R97" s="35" t="s">
        <v>566</v>
      </c>
      <c r="S97" s="34">
        <v>43434</v>
      </c>
      <c r="T97" s="36">
        <v>13.851000000000001</v>
      </c>
      <c r="U97" s="33">
        <v>24</v>
      </c>
      <c r="V97" s="37">
        <v>4396515.9118892066</v>
      </c>
      <c r="W97" s="37">
        <f>Tabla1[[#This Row],[V.I. Adj]]/1000000</f>
        <v>4.3965159118892068</v>
      </c>
      <c r="X97" s="37">
        <v>415000</v>
      </c>
      <c r="Y97" s="37">
        <v>178000</v>
      </c>
      <c r="Z97" s="54">
        <v>593000</v>
      </c>
      <c r="AA97" s="54">
        <v>20</v>
      </c>
      <c r="AB97" s="55">
        <v>7.0000000000000007E-2</v>
      </c>
      <c r="AC97" s="7" t="s">
        <v>317</v>
      </c>
      <c r="AD97" s="7" t="s">
        <v>317</v>
      </c>
      <c r="AE97" s="7" t="s">
        <v>317</v>
      </c>
      <c r="AF97" s="7" t="s">
        <v>567</v>
      </c>
      <c r="AG97" s="40" t="s">
        <v>319</v>
      </c>
      <c r="AH97" s="41">
        <v>42814</v>
      </c>
      <c r="AI97" s="41">
        <v>42965</v>
      </c>
      <c r="AJ97" s="49" t="s">
        <v>317</v>
      </c>
      <c r="AK97" s="42">
        <v>43249</v>
      </c>
      <c r="AM97" s="43" t="s">
        <v>567</v>
      </c>
    </row>
    <row r="98" spans="1:39" s="7" customFormat="1" x14ac:dyDescent="0.25">
      <c r="A98" s="7" t="str">
        <f>+MID(Tabla1[[#This Row],[N° Decreto
Expansión]],1,4)</f>
        <v>2017</v>
      </c>
      <c r="B98" s="7" t="str">
        <f>+RIGHT(Tabla1[[#This Row],[N° Decreto
Expansión]],3)</f>
        <v>422</v>
      </c>
      <c r="C98" s="32" t="s">
        <v>561</v>
      </c>
      <c r="D98" s="7" t="s">
        <v>562</v>
      </c>
      <c r="E98" s="7" t="s">
        <v>479</v>
      </c>
      <c r="F98" s="7" t="s">
        <v>480</v>
      </c>
      <c r="G98" s="45" t="s">
        <v>309</v>
      </c>
      <c r="H98" s="7" t="s">
        <v>310</v>
      </c>
      <c r="I98" s="7" t="s">
        <v>563</v>
      </c>
      <c r="J98" s="7">
        <v>1</v>
      </c>
      <c r="K98" s="33" t="s">
        <v>312</v>
      </c>
      <c r="L98" s="7" t="s">
        <v>338</v>
      </c>
      <c r="M98" s="7" t="s">
        <v>338</v>
      </c>
      <c r="N98" s="7" t="s">
        <v>568</v>
      </c>
      <c r="O98" s="7" t="s">
        <v>569</v>
      </c>
      <c r="P98" s="7" t="s">
        <v>563</v>
      </c>
      <c r="Q98" s="34">
        <v>43307</v>
      </c>
      <c r="R98" s="35" t="s">
        <v>570</v>
      </c>
      <c r="S98" s="34">
        <v>43434</v>
      </c>
      <c r="T98" s="36">
        <v>125.024</v>
      </c>
      <c r="U98" s="33">
        <v>48</v>
      </c>
      <c r="V98" s="37">
        <v>68437332.0260344</v>
      </c>
      <c r="W98" s="37">
        <f>Tabla1[[#This Row],[V.I. Adj]]/1000000</f>
        <v>68.437332026034397</v>
      </c>
      <c r="X98" s="37">
        <v>6460000</v>
      </c>
      <c r="Y98" s="37">
        <v>1641000</v>
      </c>
      <c r="Z98" s="54">
        <v>8101000</v>
      </c>
      <c r="AA98" s="54">
        <v>20</v>
      </c>
      <c r="AB98" s="55">
        <v>7.0000000000000007E-2</v>
      </c>
      <c r="AC98" s="7" t="s">
        <v>317</v>
      </c>
      <c r="AD98" s="7" t="s">
        <v>317</v>
      </c>
      <c r="AE98" s="7" t="s">
        <v>317</v>
      </c>
      <c r="AF98" s="7" t="s">
        <v>571</v>
      </c>
      <c r="AG98" s="40" t="s">
        <v>319</v>
      </c>
      <c r="AH98" s="41">
        <v>42814</v>
      </c>
      <c r="AI98" s="41">
        <v>42965</v>
      </c>
      <c r="AJ98" s="49" t="s">
        <v>317</v>
      </c>
      <c r="AK98" s="42">
        <v>43312</v>
      </c>
      <c r="AM98" s="43" t="s">
        <v>571</v>
      </c>
    </row>
    <row r="99" spans="1:39" s="7" customFormat="1" x14ac:dyDescent="0.25">
      <c r="A99" s="7" t="str">
        <f>+MID(Tabla1[[#This Row],[N° Decreto
Expansión]],1,4)</f>
        <v>2017</v>
      </c>
      <c r="B99" s="7" t="str">
        <f>+RIGHT(Tabla1[[#This Row],[N° Decreto
Expansión]],3)</f>
        <v>422</v>
      </c>
      <c r="C99" s="32" t="s">
        <v>561</v>
      </c>
      <c r="D99" s="7" t="s">
        <v>562</v>
      </c>
      <c r="E99" s="7" t="s">
        <v>479</v>
      </c>
      <c r="F99" s="7" t="s">
        <v>480</v>
      </c>
      <c r="G99" s="45" t="s">
        <v>309</v>
      </c>
      <c r="H99" s="7" t="s">
        <v>310</v>
      </c>
      <c r="I99" s="7" t="s">
        <v>563</v>
      </c>
      <c r="J99" s="7">
        <v>1</v>
      </c>
      <c r="K99" s="33" t="s">
        <v>312</v>
      </c>
      <c r="L99" s="7" t="s">
        <v>443</v>
      </c>
      <c r="M99" s="7" t="s">
        <v>443</v>
      </c>
      <c r="N99" s="7" t="s">
        <v>572</v>
      </c>
      <c r="O99" s="7" t="s">
        <v>565</v>
      </c>
      <c r="P99" s="7" t="s">
        <v>563</v>
      </c>
      <c r="Q99" s="34">
        <v>43244</v>
      </c>
      <c r="R99" s="35" t="s">
        <v>573</v>
      </c>
      <c r="S99" s="34">
        <v>43434</v>
      </c>
      <c r="T99" s="36">
        <v>7.34</v>
      </c>
      <c r="U99" s="33">
        <v>24</v>
      </c>
      <c r="V99" s="37">
        <v>2415435.2479776847</v>
      </c>
      <c r="W99" s="37">
        <f>Tabla1[[#This Row],[V.I. Adj]]/1000000</f>
        <v>2.4154352479776846</v>
      </c>
      <c r="X99" s="37">
        <v>228000</v>
      </c>
      <c r="Y99" s="37">
        <v>108000</v>
      </c>
      <c r="Z99" s="54">
        <v>336000</v>
      </c>
      <c r="AA99" s="54">
        <v>20</v>
      </c>
      <c r="AB99" s="55">
        <v>7.0000000000000007E-2</v>
      </c>
      <c r="AC99" s="7" t="s">
        <v>317</v>
      </c>
      <c r="AD99" s="7" t="s">
        <v>317</v>
      </c>
      <c r="AE99" s="7" t="s">
        <v>317</v>
      </c>
      <c r="AF99" s="7" t="s">
        <v>574</v>
      </c>
      <c r="AG99" s="40" t="s">
        <v>319</v>
      </c>
      <c r="AH99" s="41">
        <v>42814</v>
      </c>
      <c r="AI99" s="41">
        <v>42965</v>
      </c>
      <c r="AJ99" s="49" t="s">
        <v>317</v>
      </c>
      <c r="AK99" s="42">
        <v>43249</v>
      </c>
      <c r="AM99" s="43" t="s">
        <v>574</v>
      </c>
    </row>
    <row r="100" spans="1:39" s="7" customFormat="1" x14ac:dyDescent="0.25">
      <c r="A100" s="7" t="str">
        <f>+MID(Tabla1[[#This Row],[N° Decreto
Expansión]],1,4)</f>
        <v>2017</v>
      </c>
      <c r="B100" s="7" t="str">
        <f>+RIGHT(Tabla1[[#This Row],[N° Decreto
Expansión]],3)</f>
        <v>422</v>
      </c>
      <c r="C100" s="32" t="s">
        <v>561</v>
      </c>
      <c r="D100" s="7" t="s">
        <v>562</v>
      </c>
      <c r="E100" s="7" t="s">
        <v>479</v>
      </c>
      <c r="F100" s="7" t="s">
        <v>480</v>
      </c>
      <c r="G100" s="45" t="s">
        <v>309</v>
      </c>
      <c r="H100" s="7" t="s">
        <v>310</v>
      </c>
      <c r="I100" s="7" t="s">
        <v>563</v>
      </c>
      <c r="J100" s="7">
        <v>1</v>
      </c>
      <c r="K100" s="33" t="s">
        <v>312</v>
      </c>
      <c r="L100" s="7" t="s">
        <v>463</v>
      </c>
      <c r="M100" s="7" t="s">
        <v>463</v>
      </c>
      <c r="N100" s="7" t="s">
        <v>575</v>
      </c>
      <c r="O100" s="7" t="s">
        <v>482</v>
      </c>
      <c r="P100" s="7" t="s">
        <v>563</v>
      </c>
      <c r="Q100" s="34">
        <v>43244</v>
      </c>
      <c r="R100" s="35" t="s">
        <v>576</v>
      </c>
      <c r="S100" s="34">
        <v>43434</v>
      </c>
      <c r="T100" s="36">
        <v>9.0370000000000008</v>
      </c>
      <c r="U100" s="33">
        <v>24</v>
      </c>
      <c r="V100" s="37">
        <v>8484979.077547295</v>
      </c>
      <c r="W100" s="37">
        <f>Tabla1[[#This Row],[V.I. Adj]]/1000000</f>
        <v>8.4849790775472957</v>
      </c>
      <c r="X100" s="37">
        <v>800922</v>
      </c>
      <c r="Y100" s="37">
        <v>106441</v>
      </c>
      <c r="Z100" s="54">
        <v>907363</v>
      </c>
      <c r="AA100" s="54">
        <v>20</v>
      </c>
      <c r="AB100" s="55">
        <v>7.0000000000000007E-2</v>
      </c>
      <c r="AC100" s="7" t="s">
        <v>317</v>
      </c>
      <c r="AD100" s="7" t="s">
        <v>317</v>
      </c>
      <c r="AE100" s="7" t="s">
        <v>317</v>
      </c>
      <c r="AF100" s="7" t="s">
        <v>577</v>
      </c>
      <c r="AG100" s="40" t="s">
        <v>319</v>
      </c>
      <c r="AH100" s="41">
        <v>42814</v>
      </c>
      <c r="AI100" s="41">
        <v>42965</v>
      </c>
      <c r="AJ100" s="49" t="s">
        <v>317</v>
      </c>
      <c r="AK100" s="42">
        <v>43249</v>
      </c>
      <c r="AM100" s="43" t="s">
        <v>577</v>
      </c>
    </row>
    <row r="101" spans="1:39" s="7" customFormat="1" x14ac:dyDescent="0.25">
      <c r="A101" s="7" t="str">
        <f>+MID(Tabla1[[#This Row],[N° Decreto
Expansión]],1,4)</f>
        <v>2017</v>
      </c>
      <c r="B101" s="7" t="str">
        <f>+RIGHT(Tabla1[[#This Row],[N° Decreto
Expansión]],3)</f>
        <v>422</v>
      </c>
      <c r="C101" s="32" t="s">
        <v>561</v>
      </c>
      <c r="D101" s="7" t="s">
        <v>562</v>
      </c>
      <c r="E101" s="7" t="s">
        <v>479</v>
      </c>
      <c r="F101" s="7" t="s">
        <v>480</v>
      </c>
      <c r="G101" s="45" t="s">
        <v>309</v>
      </c>
      <c r="H101" s="7" t="s">
        <v>310</v>
      </c>
      <c r="I101" s="7" t="s">
        <v>563</v>
      </c>
      <c r="J101" s="7">
        <v>1</v>
      </c>
      <c r="K101" s="33" t="s">
        <v>312</v>
      </c>
      <c r="L101" s="7" t="s">
        <v>463</v>
      </c>
      <c r="M101" s="7" t="s">
        <v>463</v>
      </c>
      <c r="N101" s="7" t="s">
        <v>578</v>
      </c>
      <c r="O101" s="7" t="s">
        <v>34</v>
      </c>
      <c r="P101" s="7" t="s">
        <v>563</v>
      </c>
      <c r="Q101" s="34">
        <v>43244</v>
      </c>
      <c r="R101" s="35" t="s">
        <v>579</v>
      </c>
      <c r="S101" s="34">
        <v>43434</v>
      </c>
      <c r="T101" s="36">
        <v>8.1340000000000003</v>
      </c>
      <c r="U101" s="33">
        <v>20</v>
      </c>
      <c r="V101" s="37">
        <v>6676474.9056952307</v>
      </c>
      <c r="W101" s="37">
        <f>Tabla1[[#This Row],[V.I. Adj]]/1000000</f>
        <v>6.6764749056952306</v>
      </c>
      <c r="X101" s="37">
        <v>630212</v>
      </c>
      <c r="Y101" s="37">
        <v>191288</v>
      </c>
      <c r="Z101" s="54">
        <v>821500</v>
      </c>
      <c r="AA101" s="54">
        <v>20</v>
      </c>
      <c r="AB101" s="55">
        <v>7.0000000000000007E-2</v>
      </c>
      <c r="AC101" s="7" t="s">
        <v>317</v>
      </c>
      <c r="AD101" s="7" t="s">
        <v>317</v>
      </c>
      <c r="AE101" s="7" t="s">
        <v>317</v>
      </c>
      <c r="AF101" s="7" t="s">
        <v>580</v>
      </c>
      <c r="AG101" s="40" t="s">
        <v>319</v>
      </c>
      <c r="AH101" s="41">
        <v>42814</v>
      </c>
      <c r="AI101" s="41">
        <v>42965</v>
      </c>
      <c r="AJ101" s="49" t="s">
        <v>317</v>
      </c>
      <c r="AK101" s="42">
        <v>43249</v>
      </c>
      <c r="AM101" s="43" t="s">
        <v>580</v>
      </c>
    </row>
    <row r="102" spans="1:39" s="7" customFormat="1" x14ac:dyDescent="0.25">
      <c r="A102" s="7" t="str">
        <f>+MID(Tabla1[[#This Row],[N° Decreto
Expansión]],1,4)</f>
        <v>2017</v>
      </c>
      <c r="B102" s="7" t="str">
        <f>+RIGHT(Tabla1[[#This Row],[N° Decreto
Expansión]],3)</f>
        <v>422</v>
      </c>
      <c r="C102" s="32" t="s">
        <v>561</v>
      </c>
      <c r="D102" s="7" t="s">
        <v>562</v>
      </c>
      <c r="E102" s="7" t="s">
        <v>479</v>
      </c>
      <c r="F102" s="7" t="s">
        <v>480</v>
      </c>
      <c r="G102" s="45" t="s">
        <v>309</v>
      </c>
      <c r="H102" s="7" t="s">
        <v>310</v>
      </c>
      <c r="I102" s="7" t="s">
        <v>563</v>
      </c>
      <c r="J102" s="7">
        <v>1</v>
      </c>
      <c r="K102" s="33" t="s">
        <v>312</v>
      </c>
      <c r="L102" s="7" t="s">
        <v>556</v>
      </c>
      <c r="M102" s="7" t="s">
        <v>556</v>
      </c>
      <c r="N102" s="7" t="s">
        <v>581</v>
      </c>
      <c r="O102" s="7" t="s">
        <v>34</v>
      </c>
      <c r="P102" s="7" t="s">
        <v>563</v>
      </c>
      <c r="Q102" s="34">
        <v>43244</v>
      </c>
      <c r="R102" s="35" t="s">
        <v>582</v>
      </c>
      <c r="S102" s="34">
        <v>43434</v>
      </c>
      <c r="T102" s="36">
        <v>11.212999999999999</v>
      </c>
      <c r="U102" s="33">
        <v>30</v>
      </c>
      <c r="V102" s="37">
        <v>11007180.801091291</v>
      </c>
      <c r="W102" s="37">
        <f>Tabla1[[#This Row],[V.I. Adj]]/1000000</f>
        <v>11.007180801091291</v>
      </c>
      <c r="X102" s="37">
        <v>1039000</v>
      </c>
      <c r="Y102" s="37">
        <v>799769</v>
      </c>
      <c r="Z102" s="54">
        <v>1039000</v>
      </c>
      <c r="AA102" s="54">
        <v>20</v>
      </c>
      <c r="AB102" s="55">
        <v>7.0000000000000007E-2</v>
      </c>
      <c r="AC102" s="7" t="s">
        <v>317</v>
      </c>
      <c r="AD102" s="7" t="s">
        <v>317</v>
      </c>
      <c r="AE102" s="7" t="s">
        <v>317</v>
      </c>
      <c r="AF102" s="7" t="s">
        <v>583</v>
      </c>
      <c r="AG102" s="40" t="s">
        <v>319</v>
      </c>
      <c r="AH102" s="41">
        <v>42814</v>
      </c>
      <c r="AI102" s="41">
        <v>42965</v>
      </c>
      <c r="AJ102" s="49" t="s">
        <v>317</v>
      </c>
      <c r="AK102" s="42">
        <v>43249</v>
      </c>
      <c r="AM102" s="43" t="s">
        <v>583</v>
      </c>
    </row>
    <row r="103" spans="1:39" s="7" customFormat="1" x14ac:dyDescent="0.25">
      <c r="A103" s="7" t="str">
        <f>+MID(Tabla1[[#This Row],[N° Decreto
Expansión]],1,4)</f>
        <v>2017</v>
      </c>
      <c r="B103" s="7" t="str">
        <f>+RIGHT(Tabla1[[#This Row],[N° Decreto
Expansión]],3)</f>
        <v>422</v>
      </c>
      <c r="C103" s="32" t="s">
        <v>561</v>
      </c>
      <c r="D103" s="7" t="s">
        <v>562</v>
      </c>
      <c r="E103" s="7" t="s">
        <v>479</v>
      </c>
      <c r="F103" s="7" t="s">
        <v>480</v>
      </c>
      <c r="G103" s="45" t="s">
        <v>309</v>
      </c>
      <c r="H103" s="7" t="s">
        <v>310</v>
      </c>
      <c r="I103" s="7" t="s">
        <v>563</v>
      </c>
      <c r="J103" s="7">
        <v>1</v>
      </c>
      <c r="K103" s="33" t="s">
        <v>584</v>
      </c>
      <c r="L103" s="7" t="s">
        <v>324</v>
      </c>
      <c r="M103" s="7" t="s">
        <v>324</v>
      </c>
      <c r="N103" s="7" t="s">
        <v>585</v>
      </c>
      <c r="O103" s="7" t="s">
        <v>565</v>
      </c>
      <c r="P103" s="7" t="s">
        <v>563</v>
      </c>
      <c r="Q103" s="34">
        <v>43307</v>
      </c>
      <c r="R103" s="35" t="s">
        <v>586</v>
      </c>
      <c r="S103" s="34">
        <v>43434</v>
      </c>
      <c r="T103" s="36">
        <v>17.991</v>
      </c>
      <c r="U103" s="33">
        <v>48</v>
      </c>
      <c r="V103" s="37">
        <v>9600507.5895716548</v>
      </c>
      <c r="W103" s="37">
        <f>Tabla1[[#This Row],[V.I. Adj]]/1000000</f>
        <v>9.6005075895716541</v>
      </c>
      <c r="X103" s="37">
        <v>906220</v>
      </c>
      <c r="Y103" s="37">
        <v>264048</v>
      </c>
      <c r="Z103" s="54">
        <v>1170268</v>
      </c>
      <c r="AA103" s="54">
        <v>20</v>
      </c>
      <c r="AB103" s="55">
        <v>7.0000000000000007E-2</v>
      </c>
      <c r="AC103" s="7" t="s">
        <v>317</v>
      </c>
      <c r="AD103" s="7" t="s">
        <v>317</v>
      </c>
      <c r="AE103" s="7" t="s">
        <v>317</v>
      </c>
      <c r="AF103" s="7" t="s">
        <v>587</v>
      </c>
      <c r="AG103" s="40" t="s">
        <v>319</v>
      </c>
      <c r="AH103" s="41">
        <v>42814</v>
      </c>
      <c r="AI103" s="41">
        <v>42965</v>
      </c>
      <c r="AJ103" s="49" t="s">
        <v>317</v>
      </c>
      <c r="AK103" s="42">
        <v>43312</v>
      </c>
      <c r="AM103" s="43" t="s">
        <v>587</v>
      </c>
    </row>
    <row r="104" spans="1:39" s="7" customFormat="1" x14ac:dyDescent="0.25">
      <c r="A104" s="7" t="str">
        <f>+MID(Tabla1[[#This Row],[N° Decreto
Expansión]],1,4)</f>
        <v>2017</v>
      </c>
      <c r="B104" s="7" t="str">
        <f>+RIGHT(Tabla1[[#This Row],[N° Decreto
Expansión]],3)</f>
        <v>422</v>
      </c>
      <c r="C104" s="32" t="s">
        <v>561</v>
      </c>
      <c r="D104" s="7" t="s">
        <v>562</v>
      </c>
      <c r="E104" s="7" t="s">
        <v>479</v>
      </c>
      <c r="F104" s="7" t="s">
        <v>480</v>
      </c>
      <c r="G104" s="45" t="s">
        <v>309</v>
      </c>
      <c r="H104" s="7" t="s">
        <v>310</v>
      </c>
      <c r="I104" s="7" t="s">
        <v>563</v>
      </c>
      <c r="J104" s="7">
        <v>1</v>
      </c>
      <c r="K104" s="33" t="s">
        <v>33</v>
      </c>
      <c r="L104" s="7" t="s">
        <v>588</v>
      </c>
      <c r="M104" s="7" t="s">
        <v>588</v>
      </c>
      <c r="N104" s="7" t="s">
        <v>589</v>
      </c>
      <c r="O104" s="7" t="s">
        <v>590</v>
      </c>
      <c r="P104" s="7" t="s">
        <v>563</v>
      </c>
      <c r="Q104" s="34">
        <v>43307</v>
      </c>
      <c r="R104" s="35" t="s">
        <v>591</v>
      </c>
      <c r="S104" s="34">
        <v>43434</v>
      </c>
      <c r="T104" s="36">
        <v>107.703</v>
      </c>
      <c r="U104" s="33">
        <v>60</v>
      </c>
      <c r="V104" s="37">
        <v>82100919.523131877</v>
      </c>
      <c r="W104" s="37">
        <f>Tabla1[[#This Row],[V.I. Adj]]/1000000</f>
        <v>82.100919523131878</v>
      </c>
      <c r="X104" s="37">
        <v>7749746</v>
      </c>
      <c r="Y104" s="37">
        <v>1820254</v>
      </c>
      <c r="Z104" s="54">
        <v>9570000</v>
      </c>
      <c r="AA104" s="54">
        <v>20</v>
      </c>
      <c r="AB104" s="55">
        <v>7.0000000000000007E-2</v>
      </c>
      <c r="AC104" s="7" t="s">
        <v>317</v>
      </c>
      <c r="AD104" s="7" t="s">
        <v>317</v>
      </c>
      <c r="AE104" s="7" t="s">
        <v>317</v>
      </c>
      <c r="AF104" s="7" t="s">
        <v>592</v>
      </c>
      <c r="AG104" s="40" t="s">
        <v>319</v>
      </c>
      <c r="AH104" s="41">
        <v>42814</v>
      </c>
      <c r="AI104" s="41">
        <v>42965</v>
      </c>
      <c r="AJ104" s="49" t="s">
        <v>317</v>
      </c>
      <c r="AK104" s="42">
        <v>43312</v>
      </c>
      <c r="AM104" s="43" t="s">
        <v>592</v>
      </c>
    </row>
    <row r="105" spans="1:39" s="7" customFormat="1" x14ac:dyDescent="0.25">
      <c r="A105" s="7" t="str">
        <f>+MID(Tabla1[[#This Row],[N° Decreto
Expansión]],1,4)</f>
        <v>2018</v>
      </c>
      <c r="B105" s="7" t="str">
        <f>+RIGHT(Tabla1[[#This Row],[N° Decreto
Expansión]],3)</f>
        <v>293</v>
      </c>
      <c r="C105" s="32" t="s">
        <v>593</v>
      </c>
      <c r="D105" s="7" t="s">
        <v>562</v>
      </c>
      <c r="E105" s="7" t="s">
        <v>388</v>
      </c>
      <c r="F105" s="7" t="s">
        <v>308</v>
      </c>
      <c r="G105" s="7" t="s">
        <v>389</v>
      </c>
      <c r="H105" s="7" t="s">
        <v>310</v>
      </c>
      <c r="I105" s="7" t="s">
        <v>594</v>
      </c>
      <c r="J105" s="7">
        <v>1</v>
      </c>
      <c r="K105" s="33" t="s">
        <v>312</v>
      </c>
      <c r="L105" s="7" t="s">
        <v>392</v>
      </c>
      <c r="M105" s="7" t="s">
        <v>392</v>
      </c>
      <c r="N105" s="7" t="s">
        <v>595</v>
      </c>
      <c r="O105" s="7" t="s">
        <v>197</v>
      </c>
      <c r="P105" s="7" t="s">
        <v>594</v>
      </c>
      <c r="Q105" s="34">
        <v>43889</v>
      </c>
      <c r="R105" s="33" t="s">
        <v>596</v>
      </c>
      <c r="S105" s="34">
        <v>44217</v>
      </c>
      <c r="T105" s="36">
        <v>1.7965340000000001</v>
      </c>
      <c r="U105" s="33">
        <v>24</v>
      </c>
      <c r="V105" s="37">
        <v>2145115.2000000002</v>
      </c>
      <c r="W105" s="37">
        <f>Tabla1[[#This Row],[V.I. Adj]]/1000000</f>
        <v>2.1451152000000002</v>
      </c>
      <c r="X105" s="38" t="s">
        <v>317</v>
      </c>
      <c r="Y105" s="38" t="s">
        <v>317</v>
      </c>
      <c r="Z105" s="38" t="s">
        <v>317</v>
      </c>
      <c r="AA105" s="38" t="s">
        <v>317</v>
      </c>
      <c r="AB105" s="38" t="s">
        <v>317</v>
      </c>
      <c r="AC105" s="7" t="s">
        <v>597</v>
      </c>
      <c r="AD105" s="39" t="s">
        <v>317</v>
      </c>
      <c r="AE105" s="39" t="s">
        <v>317</v>
      </c>
      <c r="AF105" s="7" t="s">
        <v>598</v>
      </c>
      <c r="AG105" s="50">
        <v>4</v>
      </c>
      <c r="AH105" s="41">
        <v>43347</v>
      </c>
      <c r="AI105" s="41">
        <v>43412</v>
      </c>
      <c r="AJ105" s="41">
        <v>43949</v>
      </c>
      <c r="AK105" s="42">
        <v>44032</v>
      </c>
      <c r="AM105" s="43" t="s">
        <v>599</v>
      </c>
    </row>
    <row r="106" spans="1:39" s="7" customFormat="1" x14ac:dyDescent="0.25">
      <c r="A106" s="7" t="str">
        <f>+MID(Tabla1[[#This Row],[N° Decreto
Expansión]],1,4)</f>
        <v>2018</v>
      </c>
      <c r="B106" s="7" t="str">
        <f>+RIGHT(Tabla1[[#This Row],[N° Decreto
Expansión]],3)</f>
        <v>293</v>
      </c>
      <c r="C106" s="32" t="s">
        <v>593</v>
      </c>
      <c r="D106" s="7" t="s">
        <v>562</v>
      </c>
      <c r="E106" s="7" t="s">
        <v>388</v>
      </c>
      <c r="F106" s="7" t="s">
        <v>308</v>
      </c>
      <c r="G106" s="7" t="s">
        <v>389</v>
      </c>
      <c r="H106" s="7" t="s">
        <v>310</v>
      </c>
      <c r="I106" s="7" t="s">
        <v>594</v>
      </c>
      <c r="J106" s="7">
        <v>1</v>
      </c>
      <c r="K106" s="33" t="s">
        <v>312</v>
      </c>
      <c r="L106" s="7" t="s">
        <v>320</v>
      </c>
      <c r="M106" s="7" t="s">
        <v>320</v>
      </c>
      <c r="N106" s="7" t="s">
        <v>600</v>
      </c>
      <c r="O106" s="7" t="s">
        <v>601</v>
      </c>
      <c r="P106" s="7" t="s">
        <v>594</v>
      </c>
      <c r="Q106" s="34">
        <v>43889</v>
      </c>
      <c r="R106" s="33" t="s">
        <v>596</v>
      </c>
      <c r="S106" s="34">
        <v>44217</v>
      </c>
      <c r="T106" s="36">
        <v>2.4425599999999998</v>
      </c>
      <c r="U106" s="33">
        <v>24</v>
      </c>
      <c r="V106" s="37">
        <v>2817189</v>
      </c>
      <c r="W106" s="37">
        <f>Tabla1[[#This Row],[V.I. Adj]]/1000000</f>
        <v>2.8171889999999999</v>
      </c>
      <c r="X106" s="38" t="s">
        <v>317</v>
      </c>
      <c r="Y106" s="38" t="s">
        <v>317</v>
      </c>
      <c r="Z106" s="38" t="s">
        <v>317</v>
      </c>
      <c r="AA106" s="38" t="s">
        <v>317</v>
      </c>
      <c r="AB106" s="38" t="s">
        <v>317</v>
      </c>
      <c r="AC106" s="7" t="s">
        <v>34</v>
      </c>
      <c r="AD106" s="39" t="s">
        <v>317</v>
      </c>
      <c r="AE106" s="39" t="s">
        <v>317</v>
      </c>
      <c r="AF106" s="7" t="s">
        <v>602</v>
      </c>
      <c r="AG106" s="50">
        <v>4</v>
      </c>
      <c r="AH106" s="41">
        <v>43347</v>
      </c>
      <c r="AI106" s="41">
        <v>43412</v>
      </c>
      <c r="AJ106" s="41">
        <v>43997</v>
      </c>
      <c r="AK106" s="42">
        <v>44032</v>
      </c>
      <c r="AM106" s="43" t="s">
        <v>603</v>
      </c>
    </row>
    <row r="107" spans="1:39" s="7" customFormat="1" x14ac:dyDescent="0.25">
      <c r="A107" s="7" t="str">
        <f>+MID(Tabla1[[#This Row],[N° Decreto
Expansión]],1,4)</f>
        <v>2018</v>
      </c>
      <c r="B107" s="7" t="str">
        <f>+RIGHT(Tabla1[[#This Row],[N° Decreto
Expansión]],3)</f>
        <v>293</v>
      </c>
      <c r="C107" s="32" t="s">
        <v>593</v>
      </c>
      <c r="D107" s="7" t="s">
        <v>562</v>
      </c>
      <c r="E107" s="7" t="s">
        <v>17</v>
      </c>
      <c r="F107" s="7" t="s">
        <v>308</v>
      </c>
      <c r="G107" s="45" t="s">
        <v>309</v>
      </c>
      <c r="H107" s="7" t="s">
        <v>310</v>
      </c>
      <c r="I107" s="7" t="s">
        <v>604</v>
      </c>
      <c r="J107" s="7">
        <v>1</v>
      </c>
      <c r="K107" s="33" t="s">
        <v>584</v>
      </c>
      <c r="L107" s="7" t="s">
        <v>556</v>
      </c>
      <c r="M107" s="7" t="s">
        <v>556</v>
      </c>
      <c r="N107" s="7" t="s">
        <v>605</v>
      </c>
      <c r="O107" s="7" t="s">
        <v>606</v>
      </c>
      <c r="P107" s="7" t="s">
        <v>604</v>
      </c>
      <c r="Q107" s="34">
        <v>43817</v>
      </c>
      <c r="R107" s="33" t="s">
        <v>607</v>
      </c>
      <c r="S107" s="34">
        <v>44168</v>
      </c>
      <c r="T107" s="36">
        <v>3.8800979999999998</v>
      </c>
      <c r="U107" s="33">
        <v>30</v>
      </c>
      <c r="V107" s="37">
        <v>6505293.2300000004</v>
      </c>
      <c r="W107" s="37">
        <f>Tabla1[[#This Row],[V.I. Adj]]/1000000</f>
        <v>6.5052932300000004</v>
      </c>
      <c r="X107" s="48" t="s">
        <v>317</v>
      </c>
      <c r="Y107" s="48" t="s">
        <v>317</v>
      </c>
      <c r="Z107" s="48" t="s">
        <v>317</v>
      </c>
      <c r="AA107" s="48" t="s">
        <v>317</v>
      </c>
      <c r="AB107" s="48" t="s">
        <v>317</v>
      </c>
      <c r="AC107" s="7" t="s">
        <v>34</v>
      </c>
      <c r="AD107" s="39" t="s">
        <v>608</v>
      </c>
      <c r="AE107" s="39" t="s">
        <v>317</v>
      </c>
      <c r="AF107" s="7" t="s">
        <v>609</v>
      </c>
      <c r="AG107" s="40" t="s">
        <v>319</v>
      </c>
      <c r="AH107" s="41">
        <v>43347</v>
      </c>
      <c r="AI107" s="41">
        <v>43412</v>
      </c>
      <c r="AJ107" s="49" t="s">
        <v>317</v>
      </c>
      <c r="AK107" s="42">
        <v>43892</v>
      </c>
      <c r="AM107" s="43" t="s">
        <v>610</v>
      </c>
    </row>
    <row r="108" spans="1:39" s="7" customFormat="1" x14ac:dyDescent="0.25">
      <c r="A108" s="7" t="str">
        <f>+MID(Tabla1[[#This Row],[N° Decreto
Expansión]],1,4)</f>
        <v>2018</v>
      </c>
      <c r="B108" s="7" t="str">
        <f>+RIGHT(Tabla1[[#This Row],[N° Decreto
Expansión]],3)</f>
        <v>293</v>
      </c>
      <c r="C108" s="32" t="s">
        <v>593</v>
      </c>
      <c r="D108" s="7" t="s">
        <v>562</v>
      </c>
      <c r="E108" s="7" t="s">
        <v>17</v>
      </c>
      <c r="F108" s="7" t="s">
        <v>308</v>
      </c>
      <c r="G108" s="45" t="s">
        <v>309</v>
      </c>
      <c r="H108" s="7" t="s">
        <v>310</v>
      </c>
      <c r="I108" s="7" t="s">
        <v>604</v>
      </c>
      <c r="J108" s="7">
        <v>1</v>
      </c>
      <c r="K108" s="33" t="s">
        <v>312</v>
      </c>
      <c r="L108" s="52" t="s">
        <v>475</v>
      </c>
      <c r="M108" s="7" t="s">
        <v>611</v>
      </c>
      <c r="N108" s="7" t="s">
        <v>612</v>
      </c>
      <c r="O108" s="7" t="s">
        <v>606</v>
      </c>
      <c r="P108" s="7" t="s">
        <v>604</v>
      </c>
      <c r="Q108" s="34">
        <v>43817</v>
      </c>
      <c r="R108" s="33" t="s">
        <v>607</v>
      </c>
      <c r="S108" s="34">
        <v>44168</v>
      </c>
      <c r="T108" s="36">
        <v>10.347562</v>
      </c>
      <c r="U108" s="33">
        <v>36</v>
      </c>
      <c r="V108" s="37">
        <v>18175800.199999999</v>
      </c>
      <c r="W108" s="37">
        <f>Tabla1[[#This Row],[V.I. Adj]]/1000000</f>
        <v>18.175800199999998</v>
      </c>
      <c r="X108" s="48" t="s">
        <v>317</v>
      </c>
      <c r="Y108" s="48" t="s">
        <v>317</v>
      </c>
      <c r="Z108" s="48" t="s">
        <v>317</v>
      </c>
      <c r="AA108" s="48" t="s">
        <v>317</v>
      </c>
      <c r="AB108" s="48" t="s">
        <v>317</v>
      </c>
      <c r="AC108" s="7" t="s">
        <v>34</v>
      </c>
      <c r="AD108" s="39" t="s">
        <v>613</v>
      </c>
      <c r="AE108" s="39" t="s">
        <v>317</v>
      </c>
      <c r="AF108" s="7" t="s">
        <v>614</v>
      </c>
      <c r="AG108" s="40" t="s">
        <v>319</v>
      </c>
      <c r="AH108" s="41">
        <v>43347</v>
      </c>
      <c r="AI108" s="41">
        <v>43412</v>
      </c>
      <c r="AJ108" s="49" t="s">
        <v>317</v>
      </c>
      <c r="AK108" s="42">
        <v>43892</v>
      </c>
      <c r="AM108" s="43" t="s">
        <v>615</v>
      </c>
    </row>
    <row r="109" spans="1:39" s="7" customFormat="1" x14ac:dyDescent="0.25">
      <c r="A109" s="7" t="str">
        <f>+MID(Tabla1[[#This Row],[N° Decreto
Expansión]],1,4)</f>
        <v>2018</v>
      </c>
      <c r="B109" s="7" t="str">
        <f>+RIGHT(Tabla1[[#This Row],[N° Decreto
Expansión]],3)</f>
        <v>293</v>
      </c>
      <c r="C109" s="32" t="s">
        <v>593</v>
      </c>
      <c r="D109" s="7" t="s">
        <v>307</v>
      </c>
      <c r="E109" s="7" t="s">
        <v>17</v>
      </c>
      <c r="F109" s="7" t="s">
        <v>308</v>
      </c>
      <c r="G109" s="45" t="s">
        <v>309</v>
      </c>
      <c r="H109" s="7" t="s">
        <v>310</v>
      </c>
      <c r="I109" s="7" t="s">
        <v>604</v>
      </c>
      <c r="J109" s="7">
        <v>1</v>
      </c>
      <c r="K109" s="33" t="s">
        <v>312</v>
      </c>
      <c r="L109" s="7" t="s">
        <v>320</v>
      </c>
      <c r="M109" s="7" t="s">
        <v>320</v>
      </c>
      <c r="N109" s="7" t="s">
        <v>616</v>
      </c>
      <c r="O109" s="7" t="s">
        <v>201</v>
      </c>
      <c r="P109" s="7" t="s">
        <v>604</v>
      </c>
      <c r="Q109" s="34">
        <v>43817</v>
      </c>
      <c r="R109" s="33" t="s">
        <v>607</v>
      </c>
      <c r="S109" s="34">
        <v>44168</v>
      </c>
      <c r="T109" s="36">
        <v>6.8039649999999998</v>
      </c>
      <c r="U109" s="33">
        <v>24</v>
      </c>
      <c r="V109" s="37">
        <v>6428644.9800000004</v>
      </c>
      <c r="W109" s="37">
        <f>Tabla1[[#This Row],[V.I. Adj]]/1000000</f>
        <v>6.4286449800000005</v>
      </c>
      <c r="X109" s="48" t="s">
        <v>317</v>
      </c>
      <c r="Y109" s="48" t="s">
        <v>317</v>
      </c>
      <c r="Z109" s="48" t="s">
        <v>317</v>
      </c>
      <c r="AA109" s="48" t="s">
        <v>317</v>
      </c>
      <c r="AB109" s="48" t="s">
        <v>317</v>
      </c>
      <c r="AC109" s="7" t="s">
        <v>34</v>
      </c>
      <c r="AD109" s="39" t="s">
        <v>617</v>
      </c>
      <c r="AE109" s="39" t="s">
        <v>317</v>
      </c>
      <c r="AF109" s="7" t="s">
        <v>618</v>
      </c>
      <c r="AG109" s="40" t="s">
        <v>319</v>
      </c>
      <c r="AH109" s="41">
        <v>43347</v>
      </c>
      <c r="AI109" s="41">
        <v>43412</v>
      </c>
      <c r="AJ109" s="49" t="s">
        <v>317</v>
      </c>
      <c r="AK109" s="42">
        <v>43892</v>
      </c>
      <c r="AM109" s="43" t="s">
        <v>619</v>
      </c>
    </row>
    <row r="110" spans="1:39" s="7" customFormat="1" x14ac:dyDescent="0.25">
      <c r="A110" s="7" t="str">
        <f>+MID(Tabla1[[#This Row],[N° Decreto
Expansión]],1,4)</f>
        <v>2018</v>
      </c>
      <c r="B110" s="7" t="str">
        <f>+RIGHT(Tabla1[[#This Row],[N° Decreto
Expansión]],3)</f>
        <v>293</v>
      </c>
      <c r="C110" s="32" t="s">
        <v>593</v>
      </c>
      <c r="D110" s="7" t="s">
        <v>307</v>
      </c>
      <c r="E110" s="7" t="s">
        <v>388</v>
      </c>
      <c r="F110" s="7" t="s">
        <v>308</v>
      </c>
      <c r="G110" s="45" t="s">
        <v>389</v>
      </c>
      <c r="H110" s="7" t="s">
        <v>310</v>
      </c>
      <c r="I110" s="7" t="s">
        <v>391</v>
      </c>
      <c r="J110" s="7">
        <v>1</v>
      </c>
      <c r="K110" s="33" t="s">
        <v>312</v>
      </c>
      <c r="L110" s="7" t="s">
        <v>334</v>
      </c>
      <c r="M110" s="7" t="s">
        <v>334</v>
      </c>
      <c r="N110" s="7" t="s">
        <v>620</v>
      </c>
      <c r="O110" s="7" t="s">
        <v>500</v>
      </c>
      <c r="P110" s="7" t="s">
        <v>559</v>
      </c>
      <c r="Q110" s="34">
        <v>44467</v>
      </c>
      <c r="R110" s="33" t="s">
        <v>317</v>
      </c>
      <c r="S110" s="33" t="s">
        <v>317</v>
      </c>
      <c r="T110" s="36">
        <v>2.5765739999999999</v>
      </c>
      <c r="U110" s="33">
        <v>24</v>
      </c>
      <c r="V110" s="37">
        <v>4822279</v>
      </c>
      <c r="W110" s="37">
        <f>Tabla1[[#This Row],[V.I. Adj]]/1000000</f>
        <v>4.822279</v>
      </c>
      <c r="X110" s="48" t="s">
        <v>317</v>
      </c>
      <c r="Y110" s="48" t="s">
        <v>317</v>
      </c>
      <c r="Z110" s="48" t="s">
        <v>317</v>
      </c>
      <c r="AA110" s="48" t="s">
        <v>317</v>
      </c>
      <c r="AB110" s="48" t="s">
        <v>317</v>
      </c>
      <c r="AC110" s="7" t="s">
        <v>27</v>
      </c>
      <c r="AD110" s="39" t="s">
        <v>621</v>
      </c>
      <c r="AE110" s="39" t="s">
        <v>317</v>
      </c>
      <c r="AF110" s="7" t="s">
        <v>622</v>
      </c>
      <c r="AG110" s="50">
        <v>4</v>
      </c>
      <c r="AH110" s="41">
        <v>43347</v>
      </c>
      <c r="AI110" s="41">
        <v>43412</v>
      </c>
      <c r="AJ110" s="49" t="s">
        <v>317</v>
      </c>
      <c r="AK110" s="42">
        <v>44515</v>
      </c>
      <c r="AM110" s="43" t="s">
        <v>623</v>
      </c>
    </row>
    <row r="111" spans="1:39" s="7" customFormat="1" x14ac:dyDescent="0.25">
      <c r="A111" s="7" t="str">
        <f>+MID(Tabla1[[#This Row],[N° Decreto
Expansión]],1,4)</f>
        <v>2018</v>
      </c>
      <c r="B111" s="7" t="str">
        <f>+RIGHT(Tabla1[[#This Row],[N° Decreto
Expansión]],3)</f>
        <v>293</v>
      </c>
      <c r="C111" s="32" t="s">
        <v>593</v>
      </c>
      <c r="D111" s="7" t="s">
        <v>307</v>
      </c>
      <c r="E111" s="7" t="s">
        <v>388</v>
      </c>
      <c r="F111" s="7" t="s">
        <v>308</v>
      </c>
      <c r="G111" s="45" t="s">
        <v>389</v>
      </c>
      <c r="H111" s="7" t="s">
        <v>310</v>
      </c>
      <c r="I111" s="7" t="s">
        <v>391</v>
      </c>
      <c r="J111" s="7">
        <v>1</v>
      </c>
      <c r="K111" s="33" t="s">
        <v>312</v>
      </c>
      <c r="L111" s="7" t="s">
        <v>334</v>
      </c>
      <c r="M111" s="7" t="s">
        <v>334</v>
      </c>
      <c r="N111" s="7" t="s">
        <v>624</v>
      </c>
      <c r="O111" s="7" t="s">
        <v>500</v>
      </c>
      <c r="P111" s="7" t="s">
        <v>559</v>
      </c>
      <c r="Q111" s="34">
        <v>44467</v>
      </c>
      <c r="R111" s="33" t="s">
        <v>317</v>
      </c>
      <c r="S111" s="33" t="s">
        <v>317</v>
      </c>
      <c r="T111" s="36">
        <v>3.3874590000000002</v>
      </c>
      <c r="U111" s="33">
        <v>24</v>
      </c>
      <c r="V111" s="37">
        <v>2903672</v>
      </c>
      <c r="W111" s="37">
        <f>Tabla1[[#This Row],[V.I. Adj]]/1000000</f>
        <v>2.9036719999999998</v>
      </c>
      <c r="X111" s="48" t="s">
        <v>317</v>
      </c>
      <c r="Y111" s="48" t="s">
        <v>317</v>
      </c>
      <c r="Z111" s="48" t="s">
        <v>317</v>
      </c>
      <c r="AA111" s="48" t="s">
        <v>317</v>
      </c>
      <c r="AB111" s="48" t="s">
        <v>317</v>
      </c>
      <c r="AC111" s="7" t="s">
        <v>27</v>
      </c>
      <c r="AD111" s="39" t="s">
        <v>625</v>
      </c>
      <c r="AE111" s="39" t="s">
        <v>317</v>
      </c>
      <c r="AF111" s="7" t="s">
        <v>626</v>
      </c>
      <c r="AG111" s="50">
        <v>4</v>
      </c>
      <c r="AH111" s="41">
        <v>43347</v>
      </c>
      <c r="AI111" s="41">
        <v>43412</v>
      </c>
      <c r="AJ111" s="49" t="s">
        <v>317</v>
      </c>
      <c r="AK111" s="42">
        <v>44515</v>
      </c>
      <c r="AM111" s="43" t="s">
        <v>627</v>
      </c>
    </row>
    <row r="112" spans="1:39" s="7" customFormat="1" x14ac:dyDescent="0.25">
      <c r="A112" s="7" t="str">
        <f>+MID(Tabla1[[#This Row],[N° Decreto
Expansión]],1,4)</f>
        <v>2018</v>
      </c>
      <c r="B112" s="7" t="str">
        <f>+RIGHT(Tabla1[[#This Row],[N° Decreto
Expansión]],3)</f>
        <v>293</v>
      </c>
      <c r="C112" s="32" t="s">
        <v>593</v>
      </c>
      <c r="D112" s="7" t="s">
        <v>307</v>
      </c>
      <c r="E112" s="7" t="s">
        <v>388</v>
      </c>
      <c r="F112" s="7" t="s">
        <v>308</v>
      </c>
      <c r="G112" s="45" t="s">
        <v>389</v>
      </c>
      <c r="H112" s="7" t="s">
        <v>310</v>
      </c>
      <c r="I112" s="7" t="s">
        <v>391</v>
      </c>
      <c r="J112" s="7">
        <v>1</v>
      </c>
      <c r="K112" s="33" t="s">
        <v>312</v>
      </c>
      <c r="L112" s="7" t="s">
        <v>334</v>
      </c>
      <c r="M112" s="7" t="s">
        <v>334</v>
      </c>
      <c r="N112" s="7" t="s">
        <v>628</v>
      </c>
      <c r="O112" s="7" t="s">
        <v>500</v>
      </c>
      <c r="P112" s="7" t="s">
        <v>559</v>
      </c>
      <c r="Q112" s="34">
        <v>44467</v>
      </c>
      <c r="R112" s="33" t="s">
        <v>317</v>
      </c>
      <c r="S112" s="33" t="s">
        <v>317</v>
      </c>
      <c r="T112" s="36">
        <v>0.96519999999999995</v>
      </c>
      <c r="U112" s="33">
        <v>24</v>
      </c>
      <c r="V112" s="37">
        <v>736260</v>
      </c>
      <c r="W112" s="37">
        <f>Tabla1[[#This Row],[V.I. Adj]]/1000000</f>
        <v>0.73626000000000003</v>
      </c>
      <c r="X112" s="48" t="s">
        <v>317</v>
      </c>
      <c r="Y112" s="48" t="s">
        <v>317</v>
      </c>
      <c r="Z112" s="48" t="s">
        <v>317</v>
      </c>
      <c r="AA112" s="48" t="s">
        <v>317</v>
      </c>
      <c r="AB112" s="48" t="s">
        <v>317</v>
      </c>
      <c r="AC112" s="7" t="s">
        <v>629</v>
      </c>
      <c r="AD112" s="39" t="s">
        <v>625</v>
      </c>
      <c r="AE112" s="39" t="s">
        <v>317</v>
      </c>
      <c r="AF112" s="7" t="s">
        <v>630</v>
      </c>
      <c r="AG112" s="50">
        <v>4</v>
      </c>
      <c r="AH112" s="41">
        <v>43347</v>
      </c>
      <c r="AI112" s="41">
        <v>43412</v>
      </c>
      <c r="AJ112" s="49" t="s">
        <v>317</v>
      </c>
      <c r="AK112" s="42">
        <v>44515</v>
      </c>
      <c r="AM112" s="43" t="s">
        <v>631</v>
      </c>
    </row>
    <row r="113" spans="1:39" s="7" customFormat="1" x14ac:dyDescent="0.25">
      <c r="A113" s="7" t="str">
        <f>+MID(Tabla1[[#This Row],[N° Decreto
Expansión]],1,4)</f>
        <v>2018</v>
      </c>
      <c r="B113" s="7" t="str">
        <f>+RIGHT(Tabla1[[#This Row],[N° Decreto
Expansión]],3)</f>
        <v>293</v>
      </c>
      <c r="C113" s="32" t="s">
        <v>593</v>
      </c>
      <c r="D113" s="7" t="s">
        <v>307</v>
      </c>
      <c r="E113" s="7" t="s">
        <v>17</v>
      </c>
      <c r="F113" s="7" t="s">
        <v>308</v>
      </c>
      <c r="G113" s="7" t="s">
        <v>309</v>
      </c>
      <c r="H113" s="7" t="s">
        <v>310</v>
      </c>
      <c r="I113" s="7" t="s">
        <v>604</v>
      </c>
      <c r="J113" s="7">
        <v>1</v>
      </c>
      <c r="K113" s="33" t="s">
        <v>312</v>
      </c>
      <c r="L113" s="7" t="s">
        <v>334</v>
      </c>
      <c r="M113" s="7" t="s">
        <v>334</v>
      </c>
      <c r="N113" s="7" t="s">
        <v>632</v>
      </c>
      <c r="O113" s="7" t="s">
        <v>201</v>
      </c>
      <c r="P113" s="7" t="s">
        <v>604</v>
      </c>
      <c r="Q113" s="34">
        <v>43817</v>
      </c>
      <c r="R113" s="33" t="s">
        <v>607</v>
      </c>
      <c r="S113" s="34">
        <v>44168</v>
      </c>
      <c r="T113" s="36">
        <v>11.676197999999999</v>
      </c>
      <c r="U113" s="33">
        <v>24</v>
      </c>
      <c r="V113" s="37">
        <v>10367361.18</v>
      </c>
      <c r="W113" s="37">
        <f>Tabla1[[#This Row],[V.I. Adj]]/1000000</f>
        <v>10.36736118</v>
      </c>
      <c r="X113" s="38" t="s">
        <v>317</v>
      </c>
      <c r="Y113" s="38" t="s">
        <v>317</v>
      </c>
      <c r="Z113" s="38" t="s">
        <v>317</v>
      </c>
      <c r="AA113" s="38" t="s">
        <v>317</v>
      </c>
      <c r="AB113" s="38" t="s">
        <v>317</v>
      </c>
      <c r="AC113" s="7" t="s">
        <v>27</v>
      </c>
      <c r="AD113" s="39" t="s">
        <v>617</v>
      </c>
      <c r="AE113" s="39" t="s">
        <v>317</v>
      </c>
      <c r="AF113" s="7" t="s">
        <v>633</v>
      </c>
      <c r="AG113" s="40" t="s">
        <v>319</v>
      </c>
      <c r="AH113" s="41">
        <v>43347</v>
      </c>
      <c r="AI113" s="41">
        <v>43412</v>
      </c>
      <c r="AJ113" s="41">
        <v>43854</v>
      </c>
      <c r="AK113" s="42">
        <v>43892</v>
      </c>
      <c r="AM113" s="43" t="s">
        <v>634</v>
      </c>
    </row>
    <row r="114" spans="1:39" s="7" customFormat="1" x14ac:dyDescent="0.25">
      <c r="A114" s="7" t="str">
        <f>+MID(Tabla1[[#This Row],[N° Decreto
Expansión]],1,4)</f>
        <v>2018</v>
      </c>
      <c r="B114" s="7" t="str">
        <f>+RIGHT(Tabla1[[#This Row],[N° Decreto
Expansión]],3)</f>
        <v>293</v>
      </c>
      <c r="C114" s="32" t="s">
        <v>593</v>
      </c>
      <c r="D114" s="7" t="s">
        <v>307</v>
      </c>
      <c r="E114" s="7" t="s">
        <v>17</v>
      </c>
      <c r="F114" s="7" t="s">
        <v>308</v>
      </c>
      <c r="G114" s="45" t="s">
        <v>309</v>
      </c>
      <c r="H114" s="7" t="s">
        <v>310</v>
      </c>
      <c r="I114" s="7" t="s">
        <v>359</v>
      </c>
      <c r="J114" s="7">
        <v>1</v>
      </c>
      <c r="K114" s="33" t="s">
        <v>312</v>
      </c>
      <c r="L114" s="7" t="s">
        <v>338</v>
      </c>
      <c r="M114" s="7" t="s">
        <v>338</v>
      </c>
      <c r="N114" s="7" t="s">
        <v>635</v>
      </c>
      <c r="O114" s="7" t="s">
        <v>636</v>
      </c>
      <c r="P114" s="7" t="s">
        <v>637</v>
      </c>
      <c r="Q114" s="34">
        <v>44421</v>
      </c>
      <c r="R114" s="33" t="s">
        <v>317</v>
      </c>
      <c r="S114" s="33" t="s">
        <v>317</v>
      </c>
      <c r="T114" s="36">
        <v>3.4151210000000001</v>
      </c>
      <c r="U114" s="33">
        <v>24</v>
      </c>
      <c r="V114" s="37">
        <v>6298936.627646761</v>
      </c>
      <c r="W114" s="37">
        <f>Tabla1[[#This Row],[V.I. Adj]]/1000000</f>
        <v>6.2989366276467607</v>
      </c>
      <c r="X114" s="48" t="s">
        <v>317</v>
      </c>
      <c r="Y114" s="48" t="s">
        <v>317</v>
      </c>
      <c r="Z114" s="48" t="s">
        <v>317</v>
      </c>
      <c r="AA114" s="48" t="s">
        <v>317</v>
      </c>
      <c r="AB114" s="48" t="s">
        <v>317</v>
      </c>
      <c r="AC114" s="7" t="s">
        <v>27</v>
      </c>
      <c r="AD114" s="39" t="s">
        <v>638</v>
      </c>
      <c r="AE114" s="39" t="s">
        <v>317</v>
      </c>
      <c r="AF114" s="7" t="s">
        <v>639</v>
      </c>
      <c r="AG114" s="40" t="s">
        <v>319</v>
      </c>
      <c r="AH114" s="41">
        <v>43347</v>
      </c>
      <c r="AI114" s="41">
        <v>43412</v>
      </c>
      <c r="AJ114" s="50" t="s">
        <v>317</v>
      </c>
      <c r="AK114" s="53" t="s">
        <v>317</v>
      </c>
      <c r="AM114" s="43" t="s">
        <v>640</v>
      </c>
    </row>
    <row r="115" spans="1:39" s="7" customFormat="1" x14ac:dyDescent="0.25">
      <c r="A115" s="7" t="str">
        <f>+MID(Tabla1[[#This Row],[N° Decreto
Expansión]],1,4)</f>
        <v>2018</v>
      </c>
      <c r="B115" s="7" t="str">
        <f>+RIGHT(Tabla1[[#This Row],[N° Decreto
Expansión]],3)</f>
        <v>293</v>
      </c>
      <c r="C115" s="32" t="s">
        <v>593</v>
      </c>
      <c r="D115" s="7" t="s">
        <v>307</v>
      </c>
      <c r="E115" s="7" t="s">
        <v>17</v>
      </c>
      <c r="F115" s="7" t="s">
        <v>308</v>
      </c>
      <c r="G115" s="7" t="s">
        <v>309</v>
      </c>
      <c r="H115" s="7" t="s">
        <v>310</v>
      </c>
      <c r="I115" s="7" t="s">
        <v>604</v>
      </c>
      <c r="J115" s="7">
        <v>1</v>
      </c>
      <c r="K115" s="33" t="s">
        <v>312</v>
      </c>
      <c r="L115" s="7" t="s">
        <v>345</v>
      </c>
      <c r="M115" s="7" t="s">
        <v>345</v>
      </c>
      <c r="N115" s="7" t="s">
        <v>641</v>
      </c>
      <c r="O115" s="7" t="s">
        <v>642</v>
      </c>
      <c r="P115" s="7" t="s">
        <v>604</v>
      </c>
      <c r="Q115" s="34">
        <v>43817</v>
      </c>
      <c r="R115" s="33" t="s">
        <v>607</v>
      </c>
      <c r="S115" s="34">
        <v>44168</v>
      </c>
      <c r="T115" s="36">
        <v>3.671532</v>
      </c>
      <c r="U115" s="33">
        <v>20</v>
      </c>
      <c r="V115" s="37">
        <v>1976955.8792025663</v>
      </c>
      <c r="W115" s="37">
        <f>Tabla1[[#This Row],[V.I. Adj]]/1000000</f>
        <v>1.9769558792025663</v>
      </c>
      <c r="X115" s="38" t="s">
        <v>317</v>
      </c>
      <c r="Y115" s="38" t="s">
        <v>317</v>
      </c>
      <c r="Z115" s="38" t="s">
        <v>317</v>
      </c>
      <c r="AA115" s="38" t="s">
        <v>317</v>
      </c>
      <c r="AB115" s="38" t="s">
        <v>317</v>
      </c>
      <c r="AC115" s="7" t="s">
        <v>643</v>
      </c>
      <c r="AD115" s="39" t="s">
        <v>644</v>
      </c>
      <c r="AE115" s="39" t="s">
        <v>317</v>
      </c>
      <c r="AF115" s="7" t="s">
        <v>645</v>
      </c>
      <c r="AG115" s="40" t="s">
        <v>319</v>
      </c>
      <c r="AH115" s="41">
        <v>43347</v>
      </c>
      <c r="AI115" s="41">
        <v>43412</v>
      </c>
      <c r="AJ115" s="41">
        <v>43868</v>
      </c>
      <c r="AK115" s="42">
        <v>43892</v>
      </c>
      <c r="AM115" s="43" t="s">
        <v>646</v>
      </c>
    </row>
    <row r="116" spans="1:39" s="7" customFormat="1" x14ac:dyDescent="0.25">
      <c r="A116" s="7" t="str">
        <f>+MID(Tabla1[[#This Row],[N° Decreto
Expansión]],1,4)</f>
        <v>2018</v>
      </c>
      <c r="B116" s="7" t="str">
        <f>+RIGHT(Tabla1[[#This Row],[N° Decreto
Expansión]],3)</f>
        <v>293</v>
      </c>
      <c r="C116" s="32" t="s">
        <v>593</v>
      </c>
      <c r="D116" s="7" t="s">
        <v>307</v>
      </c>
      <c r="E116" s="7" t="s">
        <v>17</v>
      </c>
      <c r="F116" s="7" t="s">
        <v>308</v>
      </c>
      <c r="G116" s="7" t="s">
        <v>309</v>
      </c>
      <c r="H116" s="7" t="s">
        <v>310</v>
      </c>
      <c r="I116" s="7" t="s">
        <v>604</v>
      </c>
      <c r="J116" s="7">
        <v>1</v>
      </c>
      <c r="K116" s="33" t="s">
        <v>33</v>
      </c>
      <c r="L116" s="7" t="s">
        <v>345</v>
      </c>
      <c r="M116" s="7" t="s">
        <v>345</v>
      </c>
      <c r="N116" s="7" t="s">
        <v>647</v>
      </c>
      <c r="O116" s="7" t="s">
        <v>606</v>
      </c>
      <c r="P116" s="7" t="s">
        <v>604</v>
      </c>
      <c r="Q116" s="34">
        <v>43817</v>
      </c>
      <c r="R116" s="33" t="s">
        <v>607</v>
      </c>
      <c r="S116" s="34">
        <v>44168</v>
      </c>
      <c r="T116" s="36">
        <v>1.3426469999999999</v>
      </c>
      <c r="U116" s="33">
        <v>24</v>
      </c>
      <c r="V116" s="37">
        <v>3560612.265129088</v>
      </c>
      <c r="W116" s="37">
        <f>Tabla1[[#This Row],[V.I. Adj]]/1000000</f>
        <v>3.5606122651290879</v>
      </c>
      <c r="X116" s="38" t="s">
        <v>317</v>
      </c>
      <c r="Y116" s="38" t="s">
        <v>317</v>
      </c>
      <c r="Z116" s="38" t="s">
        <v>317</v>
      </c>
      <c r="AA116" s="38" t="s">
        <v>317</v>
      </c>
      <c r="AB116" s="38" t="s">
        <v>317</v>
      </c>
      <c r="AC116" s="7" t="s">
        <v>643</v>
      </c>
      <c r="AD116" s="39" t="s">
        <v>648</v>
      </c>
      <c r="AE116" s="39" t="s">
        <v>649</v>
      </c>
      <c r="AF116" s="7" t="s">
        <v>650</v>
      </c>
      <c r="AG116" s="40" t="s">
        <v>319</v>
      </c>
      <c r="AH116" s="41">
        <v>43347</v>
      </c>
      <c r="AI116" s="41">
        <v>43412</v>
      </c>
      <c r="AJ116" s="41">
        <v>43866</v>
      </c>
      <c r="AK116" s="42">
        <v>43892</v>
      </c>
      <c r="AM116" s="43" t="s">
        <v>651</v>
      </c>
    </row>
    <row r="117" spans="1:39" s="7" customFormat="1" x14ac:dyDescent="0.25">
      <c r="A117" s="7" t="str">
        <f>+MID(Tabla1[[#This Row],[N° Decreto
Expansión]],1,4)</f>
        <v>2018</v>
      </c>
      <c r="B117" s="7" t="str">
        <f>+RIGHT(Tabla1[[#This Row],[N° Decreto
Expansión]],3)</f>
        <v>293</v>
      </c>
      <c r="C117" s="32" t="s">
        <v>593</v>
      </c>
      <c r="D117" s="7" t="s">
        <v>307</v>
      </c>
      <c r="E117" s="7" t="s">
        <v>17</v>
      </c>
      <c r="F117" s="7" t="s">
        <v>308</v>
      </c>
      <c r="G117" s="45" t="s">
        <v>309</v>
      </c>
      <c r="H117" s="7" t="s">
        <v>310</v>
      </c>
      <c r="I117" s="7" t="s">
        <v>604</v>
      </c>
      <c r="J117" s="7">
        <v>1</v>
      </c>
      <c r="K117" s="33" t="s">
        <v>33</v>
      </c>
      <c r="L117" s="7" t="s">
        <v>345</v>
      </c>
      <c r="M117" s="7" t="s">
        <v>345</v>
      </c>
      <c r="N117" s="7" t="s">
        <v>652</v>
      </c>
      <c r="O117" s="7" t="s">
        <v>606</v>
      </c>
      <c r="P117" s="7" t="s">
        <v>604</v>
      </c>
      <c r="Q117" s="34">
        <v>43817</v>
      </c>
      <c r="R117" s="33" t="s">
        <v>607</v>
      </c>
      <c r="S117" s="34">
        <v>44168</v>
      </c>
      <c r="T117" s="36">
        <v>2.1012219999999999</v>
      </c>
      <c r="U117" s="33">
        <v>36</v>
      </c>
      <c r="V117" s="37">
        <v>5580063.9975903612</v>
      </c>
      <c r="W117" s="37">
        <f>Tabla1[[#This Row],[V.I. Adj]]/1000000</f>
        <v>5.5800639975903614</v>
      </c>
      <c r="X117" s="48" t="s">
        <v>317</v>
      </c>
      <c r="Y117" s="48" t="s">
        <v>317</v>
      </c>
      <c r="Z117" s="48" t="s">
        <v>317</v>
      </c>
      <c r="AA117" s="48" t="s">
        <v>317</v>
      </c>
      <c r="AB117" s="48" t="s">
        <v>317</v>
      </c>
      <c r="AC117" s="7" t="s">
        <v>597</v>
      </c>
      <c r="AD117" s="39" t="s">
        <v>648</v>
      </c>
      <c r="AE117" s="39" t="s">
        <v>317</v>
      </c>
      <c r="AF117" s="7" t="s">
        <v>653</v>
      </c>
      <c r="AG117" s="40" t="s">
        <v>319</v>
      </c>
      <c r="AH117" s="41">
        <v>43347</v>
      </c>
      <c r="AI117" s="41">
        <v>43412</v>
      </c>
      <c r="AJ117" s="50" t="s">
        <v>317</v>
      </c>
      <c r="AK117" s="42">
        <v>43892</v>
      </c>
      <c r="AM117" s="43" t="s">
        <v>654</v>
      </c>
    </row>
    <row r="118" spans="1:39" s="7" customFormat="1" x14ac:dyDescent="0.25">
      <c r="A118" s="7" t="str">
        <f>+MID(Tabla1[[#This Row],[N° Decreto
Expansión]],1,4)</f>
        <v>2018</v>
      </c>
      <c r="B118" s="7" t="str">
        <f>+RIGHT(Tabla1[[#This Row],[N° Decreto
Expansión]],3)</f>
        <v>293</v>
      </c>
      <c r="C118" s="32" t="s">
        <v>593</v>
      </c>
      <c r="D118" s="7" t="s">
        <v>307</v>
      </c>
      <c r="E118" s="7" t="s">
        <v>17</v>
      </c>
      <c r="F118" s="7" t="s">
        <v>308</v>
      </c>
      <c r="G118" s="45" t="s">
        <v>309</v>
      </c>
      <c r="H118" s="7" t="s">
        <v>310</v>
      </c>
      <c r="I118" s="7" t="s">
        <v>363</v>
      </c>
      <c r="J118" s="7">
        <v>3</v>
      </c>
      <c r="K118" s="33" t="s">
        <v>312</v>
      </c>
      <c r="L118" s="7" t="s">
        <v>345</v>
      </c>
      <c r="M118" s="7" t="s">
        <v>345</v>
      </c>
      <c r="N118" s="7" t="s">
        <v>35</v>
      </c>
      <c r="O118" s="7" t="s">
        <v>195</v>
      </c>
      <c r="P118" s="7" t="s">
        <v>363</v>
      </c>
      <c r="Q118" s="34">
        <v>44005</v>
      </c>
      <c r="R118" s="33" t="s">
        <v>317</v>
      </c>
      <c r="S118" s="33" t="s">
        <v>317</v>
      </c>
      <c r="T118" s="36">
        <v>1.828702</v>
      </c>
      <c r="U118" s="33">
        <v>20</v>
      </c>
      <c r="V118" s="37">
        <v>3028565.86</v>
      </c>
      <c r="W118" s="37">
        <f>Tabla1[[#This Row],[V.I. Adj]]/1000000</f>
        <v>3.0285658600000001</v>
      </c>
      <c r="X118" s="48" t="s">
        <v>317</v>
      </c>
      <c r="Y118" s="48" t="s">
        <v>317</v>
      </c>
      <c r="Z118" s="48" t="s">
        <v>317</v>
      </c>
      <c r="AA118" s="48" t="s">
        <v>317</v>
      </c>
      <c r="AB118" s="48" t="s">
        <v>317</v>
      </c>
      <c r="AC118" s="7" t="s">
        <v>643</v>
      </c>
      <c r="AD118" s="39" t="s">
        <v>317</v>
      </c>
      <c r="AE118" s="39" t="s">
        <v>317</v>
      </c>
      <c r="AF118" s="7" t="s">
        <v>655</v>
      </c>
      <c r="AG118" s="50">
        <v>418</v>
      </c>
      <c r="AH118" s="41">
        <v>43347</v>
      </c>
      <c r="AI118" s="41">
        <v>43412</v>
      </c>
      <c r="AJ118" s="50" t="s">
        <v>317</v>
      </c>
      <c r="AK118" s="53" t="s">
        <v>317</v>
      </c>
      <c r="AM118" s="43" t="s">
        <v>656</v>
      </c>
    </row>
    <row r="119" spans="1:39" s="7" customFormat="1" x14ac:dyDescent="0.25">
      <c r="A119" s="7" t="str">
        <f>+MID(Tabla1[[#This Row],[N° Decreto
Expansión]],1,4)</f>
        <v>2018</v>
      </c>
      <c r="B119" s="7" t="str">
        <f>+RIGHT(Tabla1[[#This Row],[N° Decreto
Expansión]],3)</f>
        <v>293</v>
      </c>
      <c r="C119" s="32" t="s">
        <v>593</v>
      </c>
      <c r="D119" s="7" t="s">
        <v>307</v>
      </c>
      <c r="E119" s="7" t="s">
        <v>17</v>
      </c>
      <c r="F119" s="7" t="s">
        <v>308</v>
      </c>
      <c r="G119" s="7" t="s">
        <v>309</v>
      </c>
      <c r="H119" s="7" t="s">
        <v>310</v>
      </c>
      <c r="I119" s="7" t="s">
        <v>604</v>
      </c>
      <c r="J119" s="7">
        <v>1</v>
      </c>
      <c r="K119" s="33" t="s">
        <v>312</v>
      </c>
      <c r="L119" s="7" t="s">
        <v>345</v>
      </c>
      <c r="M119" s="7" t="s">
        <v>345</v>
      </c>
      <c r="N119" s="7" t="s">
        <v>657</v>
      </c>
      <c r="O119" s="7" t="s">
        <v>606</v>
      </c>
      <c r="P119" s="7" t="s">
        <v>604</v>
      </c>
      <c r="Q119" s="34">
        <v>43817</v>
      </c>
      <c r="R119" s="33" t="s">
        <v>607</v>
      </c>
      <c r="S119" s="34">
        <v>44168</v>
      </c>
      <c r="T119" s="36">
        <v>1.973981</v>
      </c>
      <c r="U119" s="33">
        <v>24</v>
      </c>
      <c r="V119" s="37">
        <v>5234631.464406196</v>
      </c>
      <c r="W119" s="37">
        <f>Tabla1[[#This Row],[V.I. Adj]]/1000000</f>
        <v>5.2346314644061964</v>
      </c>
      <c r="X119" s="38" t="s">
        <v>317</v>
      </c>
      <c r="Y119" s="38" t="s">
        <v>317</v>
      </c>
      <c r="Z119" s="38" t="s">
        <v>317</v>
      </c>
      <c r="AA119" s="38" t="s">
        <v>317</v>
      </c>
      <c r="AB119" s="38" t="s">
        <v>317</v>
      </c>
      <c r="AC119" s="7" t="s">
        <v>643</v>
      </c>
      <c r="AD119" s="39" t="s">
        <v>648</v>
      </c>
      <c r="AE119" s="39" t="s">
        <v>317</v>
      </c>
      <c r="AF119" s="7" t="s">
        <v>658</v>
      </c>
      <c r="AG119" s="40" t="s">
        <v>319</v>
      </c>
      <c r="AH119" s="41">
        <v>43347</v>
      </c>
      <c r="AI119" s="41">
        <v>43412</v>
      </c>
      <c r="AJ119" s="41">
        <v>43866</v>
      </c>
      <c r="AK119" s="42">
        <v>43892</v>
      </c>
      <c r="AM119" s="43" t="s">
        <v>659</v>
      </c>
    </row>
    <row r="120" spans="1:39" s="7" customFormat="1" x14ac:dyDescent="0.25">
      <c r="A120" s="7" t="str">
        <f>+MID(Tabla1[[#This Row],[N° Decreto
Expansión]],1,4)</f>
        <v>2018</v>
      </c>
      <c r="B120" s="7" t="str">
        <f>+RIGHT(Tabla1[[#This Row],[N° Decreto
Expansión]],3)</f>
        <v>293</v>
      </c>
      <c r="C120" s="32" t="s">
        <v>593</v>
      </c>
      <c r="D120" s="7" t="s">
        <v>307</v>
      </c>
      <c r="E120" s="7" t="s">
        <v>17</v>
      </c>
      <c r="F120" s="7" t="s">
        <v>308</v>
      </c>
      <c r="G120" s="7" t="s">
        <v>309</v>
      </c>
      <c r="H120" s="7" t="s">
        <v>310</v>
      </c>
      <c r="I120" s="7" t="s">
        <v>604</v>
      </c>
      <c r="J120" s="7">
        <v>1</v>
      </c>
      <c r="K120" s="33" t="s">
        <v>33</v>
      </c>
      <c r="L120" s="7" t="s">
        <v>345</v>
      </c>
      <c r="M120" s="7" t="s">
        <v>345</v>
      </c>
      <c r="N120" s="7" t="s">
        <v>660</v>
      </c>
      <c r="O120" s="7" t="s">
        <v>606</v>
      </c>
      <c r="P120" s="7" t="s">
        <v>604</v>
      </c>
      <c r="Q120" s="34">
        <v>43817</v>
      </c>
      <c r="R120" s="33" t="s">
        <v>607</v>
      </c>
      <c r="S120" s="34">
        <v>44168</v>
      </c>
      <c r="T120" s="36">
        <v>0.39924300000000001</v>
      </c>
      <c r="U120" s="33">
        <v>12</v>
      </c>
      <c r="V120" s="37">
        <v>1062869.3328743544</v>
      </c>
      <c r="W120" s="37">
        <f>Tabla1[[#This Row],[V.I. Adj]]/1000000</f>
        <v>1.0628693328743544</v>
      </c>
      <c r="X120" s="38" t="s">
        <v>317</v>
      </c>
      <c r="Y120" s="38" t="s">
        <v>317</v>
      </c>
      <c r="Z120" s="38" t="s">
        <v>317</v>
      </c>
      <c r="AA120" s="38" t="s">
        <v>317</v>
      </c>
      <c r="AB120" s="38" t="s">
        <v>317</v>
      </c>
      <c r="AC120" s="7" t="s">
        <v>661</v>
      </c>
      <c r="AD120" s="39" t="s">
        <v>648</v>
      </c>
      <c r="AE120" s="39" t="s">
        <v>649</v>
      </c>
      <c r="AF120" s="7" t="s">
        <v>662</v>
      </c>
      <c r="AG120" s="40" t="s">
        <v>319</v>
      </c>
      <c r="AH120" s="41">
        <v>43347</v>
      </c>
      <c r="AI120" s="41">
        <v>43412</v>
      </c>
      <c r="AJ120" s="41">
        <v>43866</v>
      </c>
      <c r="AK120" s="42">
        <v>43892</v>
      </c>
      <c r="AM120" s="43" t="s">
        <v>663</v>
      </c>
    </row>
    <row r="121" spans="1:39" s="7" customFormat="1" x14ac:dyDescent="0.25">
      <c r="A121" s="7" t="str">
        <f>+MID(Tabla1[[#This Row],[N° Decreto
Expansión]],1,4)</f>
        <v>2018</v>
      </c>
      <c r="B121" s="7" t="str">
        <f>+RIGHT(Tabla1[[#This Row],[N° Decreto
Expansión]],3)</f>
        <v>293</v>
      </c>
      <c r="C121" s="32" t="s">
        <v>593</v>
      </c>
      <c r="D121" s="7" t="s">
        <v>307</v>
      </c>
      <c r="E121" s="7" t="s">
        <v>17</v>
      </c>
      <c r="F121" s="7" t="s">
        <v>308</v>
      </c>
      <c r="G121" s="45" t="s">
        <v>309</v>
      </c>
      <c r="H121" s="7" t="s">
        <v>310</v>
      </c>
      <c r="I121" s="7" t="s">
        <v>604</v>
      </c>
      <c r="J121" s="7">
        <v>1</v>
      </c>
      <c r="K121" s="33" t="s">
        <v>312</v>
      </c>
      <c r="L121" s="7" t="s">
        <v>355</v>
      </c>
      <c r="M121" s="7" t="s">
        <v>355</v>
      </c>
      <c r="N121" s="7" t="s">
        <v>664</v>
      </c>
      <c r="O121" s="7" t="s">
        <v>665</v>
      </c>
      <c r="P121" s="7" t="s">
        <v>604</v>
      </c>
      <c r="Q121" s="34">
        <v>43817</v>
      </c>
      <c r="R121" s="33" t="s">
        <v>607</v>
      </c>
      <c r="S121" s="34">
        <v>44168</v>
      </c>
      <c r="T121" s="36">
        <v>4.1036650000000003</v>
      </c>
      <c r="U121" s="33">
        <v>30</v>
      </c>
      <c r="V121" s="37">
        <v>4708356</v>
      </c>
      <c r="W121" s="37">
        <f>Tabla1[[#This Row],[V.I. Adj]]/1000000</f>
        <v>4.7083560000000002</v>
      </c>
      <c r="X121" s="48" t="s">
        <v>317</v>
      </c>
      <c r="Y121" s="48" t="s">
        <v>317</v>
      </c>
      <c r="Z121" s="48" t="s">
        <v>317</v>
      </c>
      <c r="AA121" s="48" t="s">
        <v>317</v>
      </c>
      <c r="AB121" s="48" t="s">
        <v>317</v>
      </c>
      <c r="AC121" s="7" t="s">
        <v>666</v>
      </c>
      <c r="AD121" s="39" t="s">
        <v>667</v>
      </c>
      <c r="AE121" s="39" t="s">
        <v>317</v>
      </c>
      <c r="AF121" s="7" t="s">
        <v>668</v>
      </c>
      <c r="AG121" s="40" t="s">
        <v>319</v>
      </c>
      <c r="AH121" s="41">
        <v>43347</v>
      </c>
      <c r="AI121" s="41">
        <v>43412</v>
      </c>
      <c r="AJ121" s="50" t="s">
        <v>317</v>
      </c>
      <c r="AK121" s="42">
        <v>43892</v>
      </c>
      <c r="AM121" s="43" t="s">
        <v>669</v>
      </c>
    </row>
    <row r="122" spans="1:39" s="7" customFormat="1" x14ac:dyDescent="0.25">
      <c r="A122" s="7" t="str">
        <f>+MID(Tabla1[[#This Row],[N° Decreto
Expansión]],1,4)</f>
        <v>2018</v>
      </c>
      <c r="B122" s="7" t="str">
        <f>+RIGHT(Tabla1[[#This Row],[N° Decreto
Expansión]],3)</f>
        <v>293</v>
      </c>
      <c r="C122" s="32" t="s">
        <v>593</v>
      </c>
      <c r="D122" s="7" t="s">
        <v>307</v>
      </c>
      <c r="E122" s="7" t="s">
        <v>17</v>
      </c>
      <c r="F122" s="7" t="s">
        <v>308</v>
      </c>
      <c r="G122" s="7" t="s">
        <v>309</v>
      </c>
      <c r="H122" s="7" t="s">
        <v>310</v>
      </c>
      <c r="I122" s="7" t="s">
        <v>604</v>
      </c>
      <c r="J122" s="7">
        <v>1</v>
      </c>
      <c r="K122" s="33" t="s">
        <v>312</v>
      </c>
      <c r="L122" s="7" t="s">
        <v>392</v>
      </c>
      <c r="M122" s="7" t="s">
        <v>392</v>
      </c>
      <c r="N122" s="7" t="s">
        <v>670</v>
      </c>
      <c r="O122" s="7" t="s">
        <v>665</v>
      </c>
      <c r="P122" s="7" t="s">
        <v>604</v>
      </c>
      <c r="Q122" s="34">
        <v>43817</v>
      </c>
      <c r="R122" s="33" t="s">
        <v>607</v>
      </c>
      <c r="S122" s="34">
        <v>44168</v>
      </c>
      <c r="T122" s="36">
        <v>1.7170259999999999</v>
      </c>
      <c r="U122" s="33">
        <v>18</v>
      </c>
      <c r="V122" s="37">
        <v>3271647</v>
      </c>
      <c r="W122" s="37">
        <f>Tabla1[[#This Row],[V.I. Adj]]/1000000</f>
        <v>3.2716470000000002</v>
      </c>
      <c r="X122" s="38" t="s">
        <v>317</v>
      </c>
      <c r="Y122" s="38" t="s">
        <v>317</v>
      </c>
      <c r="Z122" s="38" t="s">
        <v>317</v>
      </c>
      <c r="AA122" s="38" t="s">
        <v>317</v>
      </c>
      <c r="AB122" s="38" t="s">
        <v>317</v>
      </c>
      <c r="AC122" s="7" t="s">
        <v>27</v>
      </c>
      <c r="AD122" s="39" t="s">
        <v>671</v>
      </c>
      <c r="AE122" s="39" t="s">
        <v>317</v>
      </c>
      <c r="AF122" s="7" t="s">
        <v>672</v>
      </c>
      <c r="AG122" s="40" t="s">
        <v>319</v>
      </c>
      <c r="AH122" s="41">
        <v>43347</v>
      </c>
      <c r="AI122" s="41">
        <v>43412</v>
      </c>
      <c r="AJ122" s="41">
        <v>43854</v>
      </c>
      <c r="AK122" s="42">
        <v>43892</v>
      </c>
      <c r="AM122" s="43" t="s">
        <v>673</v>
      </c>
    </row>
    <row r="123" spans="1:39" s="7" customFormat="1" x14ac:dyDescent="0.25">
      <c r="A123" s="7" t="str">
        <f>+MID(Tabla1[[#This Row],[N° Decreto
Expansión]],1,4)</f>
        <v>2018</v>
      </c>
      <c r="B123" s="7" t="str">
        <f>+RIGHT(Tabla1[[#This Row],[N° Decreto
Expansión]],3)</f>
        <v>293</v>
      </c>
      <c r="C123" s="32" t="s">
        <v>593</v>
      </c>
      <c r="D123" s="7" t="s">
        <v>307</v>
      </c>
      <c r="E123" s="7" t="s">
        <v>17</v>
      </c>
      <c r="F123" s="7" t="s">
        <v>308</v>
      </c>
      <c r="G123" s="45" t="s">
        <v>309</v>
      </c>
      <c r="H123" s="7" t="s">
        <v>358</v>
      </c>
      <c r="I123" s="7" t="s">
        <v>359</v>
      </c>
      <c r="J123" s="7">
        <v>1</v>
      </c>
      <c r="K123" s="33" t="s">
        <v>312</v>
      </c>
      <c r="L123" s="7" t="s">
        <v>408</v>
      </c>
      <c r="M123" s="7" t="s">
        <v>408</v>
      </c>
      <c r="N123" s="7" t="s">
        <v>674</v>
      </c>
      <c r="O123" s="7" t="s">
        <v>361</v>
      </c>
      <c r="P123" s="7" t="s">
        <v>319</v>
      </c>
      <c r="Q123" s="33" t="s">
        <v>317</v>
      </c>
      <c r="R123" s="33" t="s">
        <v>317</v>
      </c>
      <c r="S123" s="33" t="s">
        <v>317</v>
      </c>
      <c r="T123" s="36">
        <v>1.653966</v>
      </c>
      <c r="U123" s="33">
        <v>18</v>
      </c>
      <c r="V123" s="46" t="s">
        <v>319</v>
      </c>
      <c r="W123" s="51" t="s">
        <v>319</v>
      </c>
      <c r="X123" s="48" t="s">
        <v>317</v>
      </c>
      <c r="Y123" s="48" t="s">
        <v>317</v>
      </c>
      <c r="Z123" s="48" t="s">
        <v>317</v>
      </c>
      <c r="AA123" s="48" t="s">
        <v>317</v>
      </c>
      <c r="AB123" s="48" t="s">
        <v>317</v>
      </c>
      <c r="AC123" s="7" t="s">
        <v>27</v>
      </c>
      <c r="AD123" s="39" t="s">
        <v>675</v>
      </c>
      <c r="AE123" s="39" t="s">
        <v>317</v>
      </c>
      <c r="AF123" s="7" t="s">
        <v>676</v>
      </c>
      <c r="AG123" s="40" t="s">
        <v>319</v>
      </c>
      <c r="AH123" s="41">
        <v>43347</v>
      </c>
      <c r="AI123" s="41">
        <v>43412</v>
      </c>
      <c r="AJ123" s="50" t="s">
        <v>317</v>
      </c>
      <c r="AK123" s="53" t="s">
        <v>317</v>
      </c>
      <c r="AM123" s="43" t="s">
        <v>677</v>
      </c>
    </row>
    <row r="124" spans="1:39" s="7" customFormat="1" x14ac:dyDescent="0.25">
      <c r="A124" s="7" t="str">
        <f>+MID(Tabla1[[#This Row],[N° Decreto
Expansión]],1,4)</f>
        <v>2018</v>
      </c>
      <c r="B124" s="7" t="str">
        <f>+RIGHT(Tabla1[[#This Row],[N° Decreto
Expansión]],3)</f>
        <v>293</v>
      </c>
      <c r="C124" s="32" t="s">
        <v>593</v>
      </c>
      <c r="D124" s="7" t="s">
        <v>307</v>
      </c>
      <c r="E124" s="7" t="s">
        <v>17</v>
      </c>
      <c r="F124" s="7" t="s">
        <v>308</v>
      </c>
      <c r="G124" s="45" t="s">
        <v>309</v>
      </c>
      <c r="H124" s="7" t="s">
        <v>358</v>
      </c>
      <c r="I124" s="7" t="s">
        <v>359</v>
      </c>
      <c r="J124" s="7">
        <v>1</v>
      </c>
      <c r="K124" s="33" t="s">
        <v>312</v>
      </c>
      <c r="L124" s="7" t="s">
        <v>355</v>
      </c>
      <c r="M124" s="7" t="s">
        <v>355</v>
      </c>
      <c r="N124" s="7" t="s">
        <v>678</v>
      </c>
      <c r="O124" s="7" t="s">
        <v>361</v>
      </c>
      <c r="P124" s="7" t="s">
        <v>319</v>
      </c>
      <c r="Q124" s="33" t="s">
        <v>317</v>
      </c>
      <c r="R124" s="33" t="s">
        <v>317</v>
      </c>
      <c r="S124" s="33" t="s">
        <v>317</v>
      </c>
      <c r="T124" s="36">
        <v>0.88249999999999995</v>
      </c>
      <c r="U124" s="33">
        <v>18</v>
      </c>
      <c r="V124" s="46" t="s">
        <v>319</v>
      </c>
      <c r="W124" s="51" t="s">
        <v>319</v>
      </c>
      <c r="X124" s="48" t="s">
        <v>317</v>
      </c>
      <c r="Y124" s="48" t="s">
        <v>317</v>
      </c>
      <c r="Z124" s="48" t="s">
        <v>317</v>
      </c>
      <c r="AA124" s="48" t="s">
        <v>317</v>
      </c>
      <c r="AB124" s="48" t="s">
        <v>317</v>
      </c>
      <c r="AC124" s="7" t="s">
        <v>27</v>
      </c>
      <c r="AD124" s="39" t="s">
        <v>679</v>
      </c>
      <c r="AE124" s="39" t="s">
        <v>317</v>
      </c>
      <c r="AF124" s="7" t="s">
        <v>680</v>
      </c>
      <c r="AG124" s="40" t="s">
        <v>319</v>
      </c>
      <c r="AH124" s="41">
        <v>43347</v>
      </c>
      <c r="AI124" s="41">
        <v>43412</v>
      </c>
      <c r="AJ124" s="50" t="s">
        <v>317</v>
      </c>
      <c r="AK124" s="53" t="s">
        <v>317</v>
      </c>
      <c r="AM124" s="43" t="s">
        <v>681</v>
      </c>
    </row>
    <row r="125" spans="1:39" s="7" customFormat="1" x14ac:dyDescent="0.25">
      <c r="A125" s="7" t="str">
        <f>+MID(Tabla1[[#This Row],[N° Decreto
Expansión]],1,4)</f>
        <v>2018</v>
      </c>
      <c r="B125" s="7" t="str">
        <f>+RIGHT(Tabla1[[#This Row],[N° Decreto
Expansión]],3)</f>
        <v>293</v>
      </c>
      <c r="C125" s="32" t="s">
        <v>593</v>
      </c>
      <c r="D125" s="7" t="s">
        <v>307</v>
      </c>
      <c r="E125" s="7" t="s">
        <v>388</v>
      </c>
      <c r="F125" s="7" t="s">
        <v>308</v>
      </c>
      <c r="G125" s="45" t="s">
        <v>389</v>
      </c>
      <c r="H125" s="7" t="s">
        <v>310</v>
      </c>
      <c r="I125" s="7" t="s">
        <v>594</v>
      </c>
      <c r="J125" s="7">
        <v>1</v>
      </c>
      <c r="K125" s="33" t="s">
        <v>584</v>
      </c>
      <c r="L125" s="7" t="s">
        <v>392</v>
      </c>
      <c r="M125" s="7" t="s">
        <v>392</v>
      </c>
      <c r="N125" s="7" t="s">
        <v>682</v>
      </c>
      <c r="O125" s="7" t="s">
        <v>197</v>
      </c>
      <c r="P125" s="7" t="s">
        <v>594</v>
      </c>
      <c r="Q125" s="34">
        <v>43889</v>
      </c>
      <c r="R125" s="33" t="s">
        <v>596</v>
      </c>
      <c r="S125" s="34">
        <v>44217</v>
      </c>
      <c r="T125" s="36">
        <v>6.7224659999999998</v>
      </c>
      <c r="U125" s="33">
        <v>36</v>
      </c>
      <c r="V125" s="37">
        <v>8026825</v>
      </c>
      <c r="W125" s="37">
        <f>Tabla1[[#This Row],[V.I. Adj]]/1000000</f>
        <v>8.0268250000000005</v>
      </c>
      <c r="X125" s="48" t="s">
        <v>317</v>
      </c>
      <c r="Y125" s="48" t="s">
        <v>317</v>
      </c>
      <c r="Z125" s="48" t="s">
        <v>317</v>
      </c>
      <c r="AA125" s="48" t="s">
        <v>317</v>
      </c>
      <c r="AB125" s="48" t="s">
        <v>317</v>
      </c>
      <c r="AC125" s="7" t="s">
        <v>34</v>
      </c>
      <c r="AD125" s="39" t="s">
        <v>317</v>
      </c>
      <c r="AE125" s="39" t="s">
        <v>317</v>
      </c>
      <c r="AF125" s="7" t="s">
        <v>683</v>
      </c>
      <c r="AG125" s="50">
        <v>4</v>
      </c>
      <c r="AH125" s="41">
        <v>43347</v>
      </c>
      <c r="AI125" s="41">
        <v>43412</v>
      </c>
      <c r="AJ125" s="50" t="s">
        <v>317</v>
      </c>
      <c r="AK125" s="42">
        <v>44032</v>
      </c>
      <c r="AM125" s="43" t="s">
        <v>684</v>
      </c>
    </row>
    <row r="126" spans="1:39" s="7" customFormat="1" x14ac:dyDescent="0.25">
      <c r="A126" s="7" t="str">
        <f>+MID(Tabla1[[#This Row],[N° Decreto
Expansión]],1,4)</f>
        <v>2018</v>
      </c>
      <c r="B126" s="7" t="str">
        <f>+RIGHT(Tabla1[[#This Row],[N° Decreto
Expansión]],3)</f>
        <v>293</v>
      </c>
      <c r="C126" s="32" t="s">
        <v>593</v>
      </c>
      <c r="D126" s="7" t="s">
        <v>307</v>
      </c>
      <c r="E126" s="7" t="s">
        <v>388</v>
      </c>
      <c r="F126" s="7" t="s">
        <v>308</v>
      </c>
      <c r="G126" s="45" t="s">
        <v>389</v>
      </c>
      <c r="H126" s="7" t="s">
        <v>310</v>
      </c>
      <c r="I126" s="7" t="s">
        <v>594</v>
      </c>
      <c r="J126" s="7">
        <v>1</v>
      </c>
      <c r="K126" s="33" t="s">
        <v>312</v>
      </c>
      <c r="L126" s="7" t="s">
        <v>392</v>
      </c>
      <c r="M126" s="7" t="s">
        <v>392</v>
      </c>
      <c r="N126" s="7" t="s">
        <v>685</v>
      </c>
      <c r="O126" s="7" t="s">
        <v>197</v>
      </c>
      <c r="P126" s="7" t="s">
        <v>594</v>
      </c>
      <c r="Q126" s="34">
        <v>43889</v>
      </c>
      <c r="R126" s="33" t="s">
        <v>596</v>
      </c>
      <c r="S126" s="34">
        <v>44217</v>
      </c>
      <c r="T126" s="36">
        <v>8.0566800000000001</v>
      </c>
      <c r="U126" s="33">
        <v>36</v>
      </c>
      <c r="V126" s="37">
        <v>9619916.3200000003</v>
      </c>
      <c r="W126" s="37">
        <f>Tabla1[[#This Row],[V.I. Adj]]/1000000</f>
        <v>9.6199163199999997</v>
      </c>
      <c r="X126" s="48" t="s">
        <v>317</v>
      </c>
      <c r="Y126" s="48" t="s">
        <v>317</v>
      </c>
      <c r="Z126" s="48" t="s">
        <v>317</v>
      </c>
      <c r="AA126" s="48" t="s">
        <v>317</v>
      </c>
      <c r="AB126" s="48" t="s">
        <v>317</v>
      </c>
      <c r="AC126" s="7" t="s">
        <v>27</v>
      </c>
      <c r="AD126" s="39" t="s">
        <v>317</v>
      </c>
      <c r="AE126" s="39" t="s">
        <v>317</v>
      </c>
      <c r="AF126" s="7" t="s">
        <v>686</v>
      </c>
      <c r="AG126" s="50">
        <v>4</v>
      </c>
      <c r="AH126" s="41">
        <v>43347</v>
      </c>
      <c r="AI126" s="41">
        <v>43412</v>
      </c>
      <c r="AJ126" s="50" t="s">
        <v>317</v>
      </c>
      <c r="AK126" s="42">
        <v>44032</v>
      </c>
      <c r="AM126" s="43" t="s">
        <v>687</v>
      </c>
    </row>
    <row r="127" spans="1:39" s="7" customFormat="1" x14ac:dyDescent="0.25">
      <c r="A127" s="7" t="str">
        <f>+MID(Tabla1[[#This Row],[N° Decreto
Expansión]],1,4)</f>
        <v>2018</v>
      </c>
      <c r="B127" s="7" t="str">
        <f>+RIGHT(Tabla1[[#This Row],[N° Decreto
Expansión]],3)</f>
        <v>293</v>
      </c>
      <c r="C127" s="32" t="s">
        <v>593</v>
      </c>
      <c r="D127" s="7" t="s">
        <v>307</v>
      </c>
      <c r="E127" s="7" t="s">
        <v>388</v>
      </c>
      <c r="F127" s="7" t="s">
        <v>308</v>
      </c>
      <c r="G127" s="45" t="s">
        <v>389</v>
      </c>
      <c r="H127" s="7" t="s">
        <v>310</v>
      </c>
      <c r="I127" s="7" t="s">
        <v>594</v>
      </c>
      <c r="J127" s="7">
        <v>1</v>
      </c>
      <c r="K127" s="33" t="s">
        <v>312</v>
      </c>
      <c r="L127" s="7" t="s">
        <v>392</v>
      </c>
      <c r="M127" s="7" t="s">
        <v>392</v>
      </c>
      <c r="N127" s="7" t="s">
        <v>688</v>
      </c>
      <c r="O127" s="7" t="s">
        <v>197</v>
      </c>
      <c r="P127" s="7" t="s">
        <v>594</v>
      </c>
      <c r="Q127" s="34">
        <v>43889</v>
      </c>
      <c r="R127" s="33" t="s">
        <v>596</v>
      </c>
      <c r="S127" s="34">
        <v>44217</v>
      </c>
      <c r="T127" s="36">
        <v>1.9701169999999999</v>
      </c>
      <c r="U127" s="33">
        <v>36</v>
      </c>
      <c r="V127" s="37">
        <v>2352378.48</v>
      </c>
      <c r="W127" s="37">
        <f>Tabla1[[#This Row],[V.I. Adj]]/1000000</f>
        <v>2.35237848</v>
      </c>
      <c r="X127" s="48" t="s">
        <v>317</v>
      </c>
      <c r="Y127" s="48" t="s">
        <v>317</v>
      </c>
      <c r="Z127" s="48" t="s">
        <v>317</v>
      </c>
      <c r="AA127" s="48" t="s">
        <v>317</v>
      </c>
      <c r="AB127" s="48" t="s">
        <v>317</v>
      </c>
      <c r="AC127" s="7" t="s">
        <v>27</v>
      </c>
      <c r="AD127" s="39" t="s">
        <v>317</v>
      </c>
      <c r="AE127" s="39" t="s">
        <v>317</v>
      </c>
      <c r="AF127" s="7" t="s">
        <v>689</v>
      </c>
      <c r="AG127" s="50">
        <v>4</v>
      </c>
      <c r="AH127" s="41">
        <v>43347</v>
      </c>
      <c r="AI127" s="41">
        <v>43412</v>
      </c>
      <c r="AJ127" s="50" t="s">
        <v>317</v>
      </c>
      <c r="AK127" s="42">
        <v>44032</v>
      </c>
      <c r="AM127" s="43" t="s">
        <v>690</v>
      </c>
    </row>
    <row r="128" spans="1:39" s="7" customFormat="1" x14ac:dyDescent="0.25">
      <c r="A128" s="7" t="str">
        <f>+MID(Tabla1[[#This Row],[N° Decreto
Expansión]],1,4)</f>
        <v>2018</v>
      </c>
      <c r="B128" s="7" t="str">
        <f>+RIGHT(Tabla1[[#This Row],[N° Decreto
Expansión]],3)</f>
        <v>293</v>
      </c>
      <c r="C128" s="32" t="s">
        <v>593</v>
      </c>
      <c r="D128" s="7" t="s">
        <v>307</v>
      </c>
      <c r="E128" s="7" t="s">
        <v>17</v>
      </c>
      <c r="F128" s="7" t="s">
        <v>308</v>
      </c>
      <c r="G128" s="45" t="s">
        <v>309</v>
      </c>
      <c r="H128" s="7" t="s">
        <v>310</v>
      </c>
      <c r="I128" s="7" t="s">
        <v>359</v>
      </c>
      <c r="J128" s="7">
        <v>1</v>
      </c>
      <c r="K128" s="33" t="s">
        <v>33</v>
      </c>
      <c r="L128" s="7" t="s">
        <v>392</v>
      </c>
      <c r="M128" s="7" t="s">
        <v>392</v>
      </c>
      <c r="N128" s="7" t="s">
        <v>691</v>
      </c>
      <c r="O128" s="7" t="s">
        <v>692</v>
      </c>
      <c r="P128" s="7" t="s">
        <v>637</v>
      </c>
      <c r="Q128" s="34">
        <v>44421</v>
      </c>
      <c r="R128" s="33" t="s">
        <v>317</v>
      </c>
      <c r="S128" s="33" t="s">
        <v>317</v>
      </c>
      <c r="T128" s="36">
        <v>0.50116000000000005</v>
      </c>
      <c r="U128" s="33">
        <v>24</v>
      </c>
      <c r="V128" s="37">
        <v>1006119.3229422759</v>
      </c>
      <c r="W128" s="37">
        <f>Tabla1[[#This Row],[V.I. Adj]]/1000000</f>
        <v>1.0061193229422758</v>
      </c>
      <c r="X128" s="48" t="s">
        <v>317</v>
      </c>
      <c r="Y128" s="48" t="s">
        <v>317</v>
      </c>
      <c r="Z128" s="48" t="s">
        <v>317</v>
      </c>
      <c r="AA128" s="48" t="s">
        <v>317</v>
      </c>
      <c r="AB128" s="48" t="s">
        <v>317</v>
      </c>
      <c r="AC128" s="7" t="s">
        <v>27</v>
      </c>
      <c r="AD128" s="39" t="s">
        <v>671</v>
      </c>
      <c r="AE128" s="39" t="s">
        <v>317</v>
      </c>
      <c r="AF128" s="7" t="s">
        <v>693</v>
      </c>
      <c r="AG128" s="40" t="s">
        <v>319</v>
      </c>
      <c r="AH128" s="41">
        <v>43347</v>
      </c>
      <c r="AI128" s="41">
        <v>43412</v>
      </c>
      <c r="AJ128" s="50" t="s">
        <v>317</v>
      </c>
      <c r="AK128" s="53" t="s">
        <v>317</v>
      </c>
      <c r="AM128" s="43" t="s">
        <v>694</v>
      </c>
    </row>
    <row r="129" spans="1:39" s="7" customFormat="1" x14ac:dyDescent="0.25">
      <c r="A129" s="7" t="str">
        <f>+MID(Tabla1[[#This Row],[N° Decreto
Expansión]],1,4)</f>
        <v>2018</v>
      </c>
      <c r="B129" s="7" t="str">
        <f>+RIGHT(Tabla1[[#This Row],[N° Decreto
Expansión]],3)</f>
        <v>293</v>
      </c>
      <c r="C129" s="32" t="s">
        <v>593</v>
      </c>
      <c r="D129" s="7" t="s">
        <v>307</v>
      </c>
      <c r="E129" s="7" t="s">
        <v>17</v>
      </c>
      <c r="F129" s="7" t="s">
        <v>308</v>
      </c>
      <c r="G129" s="45" t="s">
        <v>309</v>
      </c>
      <c r="H129" s="7" t="s">
        <v>310</v>
      </c>
      <c r="I129" s="7" t="s">
        <v>359</v>
      </c>
      <c r="J129" s="7">
        <v>1</v>
      </c>
      <c r="K129" s="33" t="s">
        <v>33</v>
      </c>
      <c r="L129" s="7" t="s">
        <v>392</v>
      </c>
      <c r="M129" s="7" t="s">
        <v>392</v>
      </c>
      <c r="N129" s="7" t="s">
        <v>695</v>
      </c>
      <c r="O129" s="7" t="s">
        <v>692</v>
      </c>
      <c r="P129" s="7" t="s">
        <v>637</v>
      </c>
      <c r="Q129" s="34">
        <v>44421</v>
      </c>
      <c r="R129" s="33" t="s">
        <v>317</v>
      </c>
      <c r="S129" s="33" t="s">
        <v>317</v>
      </c>
      <c r="T129" s="36">
        <v>0.485045</v>
      </c>
      <c r="U129" s="33">
        <v>24</v>
      </c>
      <c r="V129" s="37">
        <v>973767.1541953393</v>
      </c>
      <c r="W129" s="37">
        <f>Tabla1[[#This Row],[V.I. Adj]]/1000000</f>
        <v>0.97376715419533932</v>
      </c>
      <c r="X129" s="48" t="s">
        <v>317</v>
      </c>
      <c r="Y129" s="48" t="s">
        <v>317</v>
      </c>
      <c r="Z129" s="48" t="s">
        <v>317</v>
      </c>
      <c r="AA129" s="48" t="s">
        <v>317</v>
      </c>
      <c r="AB129" s="48" t="s">
        <v>317</v>
      </c>
      <c r="AC129" s="7" t="s">
        <v>27</v>
      </c>
      <c r="AD129" s="39" t="s">
        <v>671</v>
      </c>
      <c r="AE129" s="39" t="s">
        <v>317</v>
      </c>
      <c r="AF129" s="7" t="s">
        <v>696</v>
      </c>
      <c r="AG129" s="40" t="s">
        <v>319</v>
      </c>
      <c r="AH129" s="41">
        <v>43347</v>
      </c>
      <c r="AI129" s="41">
        <v>43412</v>
      </c>
      <c r="AJ129" s="50" t="s">
        <v>317</v>
      </c>
      <c r="AK129" s="53" t="s">
        <v>317</v>
      </c>
      <c r="AM129" s="43" t="s">
        <v>697</v>
      </c>
    </row>
    <row r="130" spans="1:39" s="7" customFormat="1" x14ac:dyDescent="0.25">
      <c r="A130" s="7" t="str">
        <f>+MID(Tabla1[[#This Row],[N° Decreto
Expansión]],1,4)</f>
        <v>2018</v>
      </c>
      <c r="B130" s="7" t="str">
        <f>+RIGHT(Tabla1[[#This Row],[N° Decreto
Expansión]],3)</f>
        <v>293</v>
      </c>
      <c r="C130" s="32" t="s">
        <v>593</v>
      </c>
      <c r="D130" s="7" t="s">
        <v>307</v>
      </c>
      <c r="E130" s="7" t="s">
        <v>17</v>
      </c>
      <c r="F130" s="7" t="s">
        <v>308</v>
      </c>
      <c r="G130" s="7" t="s">
        <v>309</v>
      </c>
      <c r="H130" s="7" t="s">
        <v>310</v>
      </c>
      <c r="I130" s="7" t="s">
        <v>604</v>
      </c>
      <c r="J130" s="7">
        <v>1</v>
      </c>
      <c r="K130" s="33" t="s">
        <v>312</v>
      </c>
      <c r="L130" s="7" t="s">
        <v>408</v>
      </c>
      <c r="M130" s="7" t="s">
        <v>408</v>
      </c>
      <c r="N130" s="7" t="s">
        <v>698</v>
      </c>
      <c r="O130" s="7" t="s">
        <v>642</v>
      </c>
      <c r="P130" s="7" t="s">
        <v>604</v>
      </c>
      <c r="Q130" s="34">
        <v>43817</v>
      </c>
      <c r="R130" s="33" t="s">
        <v>607</v>
      </c>
      <c r="S130" s="34">
        <v>44168</v>
      </c>
      <c r="T130" s="36">
        <v>3.6203319999999999</v>
      </c>
      <c r="U130" s="33">
        <v>20</v>
      </c>
      <c r="V130" s="37">
        <v>1950021.8753987169</v>
      </c>
      <c r="W130" s="37">
        <f>Tabla1[[#This Row],[V.I. Adj]]/1000000</f>
        <v>1.9500218753987169</v>
      </c>
      <c r="X130" s="38" t="s">
        <v>317</v>
      </c>
      <c r="Y130" s="38" t="s">
        <v>317</v>
      </c>
      <c r="Z130" s="38" t="s">
        <v>317</v>
      </c>
      <c r="AA130" s="38" t="s">
        <v>317</v>
      </c>
      <c r="AB130" s="38" t="s">
        <v>317</v>
      </c>
      <c r="AC130" s="7" t="s">
        <v>27</v>
      </c>
      <c r="AD130" s="39" t="s">
        <v>644</v>
      </c>
      <c r="AE130" s="39" t="s">
        <v>317</v>
      </c>
      <c r="AF130" s="7" t="s">
        <v>699</v>
      </c>
      <c r="AG130" s="40" t="s">
        <v>319</v>
      </c>
      <c r="AH130" s="41">
        <v>43347</v>
      </c>
      <c r="AI130" s="41">
        <v>43412</v>
      </c>
      <c r="AJ130" s="41">
        <v>43868</v>
      </c>
      <c r="AK130" s="42">
        <v>43892</v>
      </c>
      <c r="AM130" s="43" t="s">
        <v>700</v>
      </c>
    </row>
    <row r="131" spans="1:39" s="7" customFormat="1" x14ac:dyDescent="0.25">
      <c r="A131" s="7" t="str">
        <f>+MID(Tabla1[[#This Row],[N° Decreto
Expansión]],1,4)</f>
        <v>2018</v>
      </c>
      <c r="B131" s="7" t="str">
        <f>+RIGHT(Tabla1[[#This Row],[N° Decreto
Expansión]],3)</f>
        <v>293</v>
      </c>
      <c r="C131" s="32" t="s">
        <v>593</v>
      </c>
      <c r="D131" s="7" t="s">
        <v>307</v>
      </c>
      <c r="E131" s="7" t="s">
        <v>17</v>
      </c>
      <c r="F131" s="7" t="s">
        <v>308</v>
      </c>
      <c r="G131" s="7" t="s">
        <v>309</v>
      </c>
      <c r="H131" s="7" t="s">
        <v>310</v>
      </c>
      <c r="I131" s="7" t="s">
        <v>604</v>
      </c>
      <c r="J131" s="7">
        <v>1</v>
      </c>
      <c r="K131" s="33" t="s">
        <v>312</v>
      </c>
      <c r="L131" s="52" t="s">
        <v>463</v>
      </c>
      <c r="M131" s="7" t="s">
        <v>701</v>
      </c>
      <c r="N131" s="7" t="s">
        <v>702</v>
      </c>
      <c r="O131" s="7" t="s">
        <v>642</v>
      </c>
      <c r="P131" s="7" t="s">
        <v>604</v>
      </c>
      <c r="Q131" s="34">
        <v>43817</v>
      </c>
      <c r="R131" s="33" t="s">
        <v>607</v>
      </c>
      <c r="S131" s="34">
        <v>44168</v>
      </c>
      <c r="T131" s="36">
        <v>3.6203319999999999</v>
      </c>
      <c r="U131" s="33">
        <v>20</v>
      </c>
      <c r="V131" s="37">
        <v>1950021.8753987169</v>
      </c>
      <c r="W131" s="37">
        <f>Tabla1[[#This Row],[V.I. Adj]]/1000000</f>
        <v>1.9500218753987169</v>
      </c>
      <c r="X131" s="38" t="s">
        <v>317</v>
      </c>
      <c r="Y131" s="38" t="s">
        <v>317</v>
      </c>
      <c r="Z131" s="38" t="s">
        <v>317</v>
      </c>
      <c r="AA131" s="38" t="s">
        <v>317</v>
      </c>
      <c r="AB131" s="38" t="s">
        <v>317</v>
      </c>
      <c r="AC131" s="7" t="s">
        <v>27</v>
      </c>
      <c r="AD131" s="39" t="s">
        <v>644</v>
      </c>
      <c r="AE131" s="39" t="s">
        <v>317</v>
      </c>
      <c r="AF131" s="7" t="s">
        <v>703</v>
      </c>
      <c r="AG131" s="40" t="s">
        <v>319</v>
      </c>
      <c r="AH131" s="41">
        <v>43347</v>
      </c>
      <c r="AI131" s="41">
        <v>43412</v>
      </c>
      <c r="AJ131" s="41">
        <v>43868</v>
      </c>
      <c r="AK131" s="42">
        <v>43892</v>
      </c>
      <c r="AM131" s="43" t="s">
        <v>704</v>
      </c>
    </row>
    <row r="132" spans="1:39" s="7" customFormat="1" x14ac:dyDescent="0.25">
      <c r="A132" s="7" t="str">
        <f>+MID(Tabla1[[#This Row],[N° Decreto
Expansión]],1,4)</f>
        <v>2018</v>
      </c>
      <c r="B132" s="7" t="str">
        <f>+RIGHT(Tabla1[[#This Row],[N° Decreto
Expansión]],3)</f>
        <v>293</v>
      </c>
      <c r="C132" s="32" t="s">
        <v>593</v>
      </c>
      <c r="D132" s="7" t="s">
        <v>307</v>
      </c>
      <c r="E132" s="7" t="s">
        <v>388</v>
      </c>
      <c r="F132" s="7" t="s">
        <v>308</v>
      </c>
      <c r="G132" s="45" t="s">
        <v>389</v>
      </c>
      <c r="H132" s="7" t="s">
        <v>390</v>
      </c>
      <c r="I132" s="7" t="s">
        <v>391</v>
      </c>
      <c r="J132" s="7">
        <v>1</v>
      </c>
      <c r="K132" s="33" t="s">
        <v>312</v>
      </c>
      <c r="L132" s="7" t="s">
        <v>392</v>
      </c>
      <c r="M132" s="7" t="s">
        <v>392</v>
      </c>
      <c r="N132" s="7" t="s">
        <v>705</v>
      </c>
      <c r="O132" s="7" t="s">
        <v>361</v>
      </c>
      <c r="P132" s="7" t="s">
        <v>319</v>
      </c>
      <c r="Q132" s="33" t="s">
        <v>317</v>
      </c>
      <c r="R132" s="33" t="s">
        <v>317</v>
      </c>
      <c r="S132" s="33" t="s">
        <v>317</v>
      </c>
      <c r="T132" s="36">
        <v>1.9201950000000001</v>
      </c>
      <c r="U132" s="33">
        <v>24</v>
      </c>
      <c r="V132" s="46" t="s">
        <v>319</v>
      </c>
      <c r="W132" s="51" t="s">
        <v>319</v>
      </c>
      <c r="X132" s="48" t="s">
        <v>317</v>
      </c>
      <c r="Y132" s="48" t="s">
        <v>317</v>
      </c>
      <c r="Z132" s="48" t="s">
        <v>317</v>
      </c>
      <c r="AA132" s="48" t="s">
        <v>317</v>
      </c>
      <c r="AB132" s="48" t="s">
        <v>317</v>
      </c>
      <c r="AC132" s="7" t="s">
        <v>27</v>
      </c>
      <c r="AD132" s="39" t="s">
        <v>317</v>
      </c>
      <c r="AE132" s="39" t="s">
        <v>317</v>
      </c>
      <c r="AF132" s="7" t="s">
        <v>706</v>
      </c>
      <c r="AG132" s="50">
        <v>4</v>
      </c>
      <c r="AH132" s="41">
        <v>43347</v>
      </c>
      <c r="AI132" s="41">
        <v>43412</v>
      </c>
      <c r="AJ132" s="50" t="s">
        <v>317</v>
      </c>
      <c r="AK132" s="42">
        <v>44515</v>
      </c>
      <c r="AM132" s="43" t="s">
        <v>707</v>
      </c>
    </row>
    <row r="133" spans="1:39" s="7" customFormat="1" x14ac:dyDescent="0.25">
      <c r="A133" s="7" t="str">
        <f>+MID(Tabla1[[#This Row],[N° Decreto
Expansión]],1,4)</f>
        <v>2018</v>
      </c>
      <c r="B133" s="7" t="str">
        <f>+RIGHT(Tabla1[[#This Row],[N° Decreto
Expansión]],3)</f>
        <v>293</v>
      </c>
      <c r="C133" s="32" t="s">
        <v>593</v>
      </c>
      <c r="D133" s="7" t="s">
        <v>307</v>
      </c>
      <c r="E133" s="7" t="s">
        <v>388</v>
      </c>
      <c r="F133" s="7" t="s">
        <v>308</v>
      </c>
      <c r="G133" s="45" t="s">
        <v>389</v>
      </c>
      <c r="H133" s="7" t="s">
        <v>390</v>
      </c>
      <c r="I133" s="7" t="s">
        <v>391</v>
      </c>
      <c r="J133" s="7">
        <v>1</v>
      </c>
      <c r="K133" s="33" t="s">
        <v>312</v>
      </c>
      <c r="L133" s="7" t="s">
        <v>392</v>
      </c>
      <c r="M133" s="7" t="s">
        <v>392</v>
      </c>
      <c r="N133" s="7" t="s">
        <v>708</v>
      </c>
      <c r="O133" s="7" t="s">
        <v>361</v>
      </c>
      <c r="P133" s="7" t="s">
        <v>319</v>
      </c>
      <c r="Q133" s="33" t="s">
        <v>317</v>
      </c>
      <c r="R133" s="33" t="s">
        <v>317</v>
      </c>
      <c r="S133" s="33" t="s">
        <v>317</v>
      </c>
      <c r="T133" s="36">
        <v>0.78561700000000001</v>
      </c>
      <c r="U133" s="33">
        <v>24</v>
      </c>
      <c r="V133" s="46" t="s">
        <v>319</v>
      </c>
      <c r="W133" s="51" t="s">
        <v>319</v>
      </c>
      <c r="X133" s="48" t="s">
        <v>317</v>
      </c>
      <c r="Y133" s="48" t="s">
        <v>317</v>
      </c>
      <c r="Z133" s="48" t="s">
        <v>317</v>
      </c>
      <c r="AA133" s="48" t="s">
        <v>317</v>
      </c>
      <c r="AB133" s="48" t="s">
        <v>317</v>
      </c>
      <c r="AC133" s="7" t="s">
        <v>27</v>
      </c>
      <c r="AD133" s="39" t="s">
        <v>317</v>
      </c>
      <c r="AE133" s="39" t="s">
        <v>317</v>
      </c>
      <c r="AF133" s="7" t="s">
        <v>709</v>
      </c>
      <c r="AG133" s="50">
        <v>4</v>
      </c>
      <c r="AH133" s="41">
        <v>43347</v>
      </c>
      <c r="AI133" s="41">
        <v>43412</v>
      </c>
      <c r="AJ133" s="50" t="s">
        <v>317</v>
      </c>
      <c r="AK133" s="42">
        <v>44515</v>
      </c>
      <c r="AM133" s="43" t="s">
        <v>710</v>
      </c>
    </row>
    <row r="134" spans="1:39" s="7" customFormat="1" x14ac:dyDescent="0.25">
      <c r="A134" s="7" t="str">
        <f>+MID(Tabla1[[#This Row],[N° Decreto
Expansión]],1,4)</f>
        <v>2018</v>
      </c>
      <c r="B134" s="7" t="str">
        <f>+RIGHT(Tabla1[[#This Row],[N° Decreto
Expansión]],3)</f>
        <v>293</v>
      </c>
      <c r="C134" s="32" t="s">
        <v>593</v>
      </c>
      <c r="D134" s="7" t="s">
        <v>307</v>
      </c>
      <c r="E134" s="7" t="s">
        <v>17</v>
      </c>
      <c r="F134" s="7" t="s">
        <v>308</v>
      </c>
      <c r="G134" s="45" t="s">
        <v>309</v>
      </c>
      <c r="H134" s="7" t="s">
        <v>310</v>
      </c>
      <c r="I134" s="7" t="s">
        <v>604</v>
      </c>
      <c r="J134" s="7">
        <v>1</v>
      </c>
      <c r="K134" s="33" t="s">
        <v>312</v>
      </c>
      <c r="L134" s="7" t="s">
        <v>443</v>
      </c>
      <c r="M134" s="7" t="s">
        <v>443</v>
      </c>
      <c r="N134" s="7" t="s">
        <v>711</v>
      </c>
      <c r="O134" s="7" t="s">
        <v>665</v>
      </c>
      <c r="P134" s="7" t="s">
        <v>604</v>
      </c>
      <c r="Q134" s="34">
        <v>43817</v>
      </c>
      <c r="R134" s="33" t="s">
        <v>607</v>
      </c>
      <c r="S134" s="34">
        <v>44168</v>
      </c>
      <c r="T134" s="36">
        <v>2.0772020000000002</v>
      </c>
      <c r="U134" s="33">
        <v>24</v>
      </c>
      <c r="V134" s="37">
        <v>5478617.5877862591</v>
      </c>
      <c r="W134" s="37">
        <f>Tabla1[[#This Row],[V.I. Adj]]/1000000</f>
        <v>5.4786175877862595</v>
      </c>
      <c r="X134" s="48" t="s">
        <v>317</v>
      </c>
      <c r="Y134" s="48" t="s">
        <v>317</v>
      </c>
      <c r="Z134" s="48" t="s">
        <v>317</v>
      </c>
      <c r="AA134" s="48" t="s">
        <v>317</v>
      </c>
      <c r="AB134" s="48" t="s">
        <v>317</v>
      </c>
      <c r="AC134" s="7" t="s">
        <v>712</v>
      </c>
      <c r="AD134" s="39" t="s">
        <v>713</v>
      </c>
      <c r="AE134" s="39" t="s">
        <v>714</v>
      </c>
      <c r="AF134" s="7" t="s">
        <v>715</v>
      </c>
      <c r="AG134" s="40" t="s">
        <v>319</v>
      </c>
      <c r="AH134" s="41">
        <v>43347</v>
      </c>
      <c r="AI134" s="41">
        <v>43412</v>
      </c>
      <c r="AJ134" s="50" t="s">
        <v>317</v>
      </c>
      <c r="AK134" s="42">
        <v>43892</v>
      </c>
      <c r="AM134" s="43" t="s">
        <v>716</v>
      </c>
    </row>
    <row r="135" spans="1:39" s="7" customFormat="1" x14ac:dyDescent="0.25">
      <c r="A135" s="7" t="str">
        <f>+MID(Tabla1[[#This Row],[N° Decreto
Expansión]],1,4)</f>
        <v>2018</v>
      </c>
      <c r="B135" s="7" t="str">
        <f>+RIGHT(Tabla1[[#This Row],[N° Decreto
Expansión]],3)</f>
        <v>293</v>
      </c>
      <c r="C135" s="32" t="s">
        <v>593</v>
      </c>
      <c r="D135" s="7" t="s">
        <v>307</v>
      </c>
      <c r="E135" s="7" t="s">
        <v>388</v>
      </c>
      <c r="F135" s="7" t="s">
        <v>308</v>
      </c>
      <c r="G135" s="45" t="s">
        <v>389</v>
      </c>
      <c r="H135" s="7" t="s">
        <v>310</v>
      </c>
      <c r="I135" s="7" t="s">
        <v>594</v>
      </c>
      <c r="J135" s="7">
        <v>1</v>
      </c>
      <c r="K135" s="33" t="s">
        <v>312</v>
      </c>
      <c r="L135" s="7" t="s">
        <v>443</v>
      </c>
      <c r="M135" s="7" t="s">
        <v>443</v>
      </c>
      <c r="N135" s="7" t="s">
        <v>717</v>
      </c>
      <c r="O135" s="7" t="s">
        <v>718</v>
      </c>
      <c r="P135" s="7" t="s">
        <v>594</v>
      </c>
      <c r="Q135" s="34">
        <v>43889</v>
      </c>
      <c r="R135" s="33" t="s">
        <v>596</v>
      </c>
      <c r="S135" s="34">
        <v>44217</v>
      </c>
      <c r="T135" s="36">
        <v>0.580426</v>
      </c>
      <c r="U135" s="33">
        <v>24</v>
      </c>
      <c r="V135" s="37">
        <v>1171259.77</v>
      </c>
      <c r="W135" s="37">
        <f>Tabla1[[#This Row],[V.I. Adj]]/1000000</f>
        <v>1.17125977</v>
      </c>
      <c r="X135" s="48" t="s">
        <v>317</v>
      </c>
      <c r="Y135" s="48" t="s">
        <v>317</v>
      </c>
      <c r="Z135" s="48" t="s">
        <v>317</v>
      </c>
      <c r="AA135" s="48" t="s">
        <v>317</v>
      </c>
      <c r="AB135" s="48" t="s">
        <v>317</v>
      </c>
      <c r="AC135" s="7" t="s">
        <v>34</v>
      </c>
      <c r="AD135" s="39" t="s">
        <v>317</v>
      </c>
      <c r="AE135" s="39" t="s">
        <v>317</v>
      </c>
      <c r="AF135" s="7" t="s">
        <v>719</v>
      </c>
      <c r="AG135" s="50">
        <v>4</v>
      </c>
      <c r="AH135" s="41">
        <v>43347</v>
      </c>
      <c r="AI135" s="41">
        <v>43412</v>
      </c>
      <c r="AJ135" s="50" t="s">
        <v>317</v>
      </c>
      <c r="AK135" s="42">
        <v>44032</v>
      </c>
      <c r="AM135" s="43" t="s">
        <v>720</v>
      </c>
    </row>
    <row r="136" spans="1:39" s="7" customFormat="1" x14ac:dyDescent="0.25">
      <c r="A136" s="7" t="str">
        <f>+MID(Tabla1[[#This Row],[N° Decreto
Expansión]],1,4)</f>
        <v>2018</v>
      </c>
      <c r="B136" s="7" t="str">
        <f>+RIGHT(Tabla1[[#This Row],[N° Decreto
Expansión]],3)</f>
        <v>293</v>
      </c>
      <c r="C136" s="32" t="s">
        <v>593</v>
      </c>
      <c r="D136" s="7" t="s">
        <v>307</v>
      </c>
      <c r="E136" s="7" t="s">
        <v>388</v>
      </c>
      <c r="F136" s="7" t="s">
        <v>308</v>
      </c>
      <c r="G136" s="45" t="s">
        <v>389</v>
      </c>
      <c r="H136" s="7" t="s">
        <v>310</v>
      </c>
      <c r="I136" s="7" t="s">
        <v>594</v>
      </c>
      <c r="J136" s="7">
        <v>1</v>
      </c>
      <c r="K136" s="33" t="s">
        <v>312</v>
      </c>
      <c r="L136" s="7" t="s">
        <v>443</v>
      </c>
      <c r="M136" s="7" t="s">
        <v>443</v>
      </c>
      <c r="N136" s="7" t="s">
        <v>721</v>
      </c>
      <c r="O136" s="7" t="s">
        <v>718</v>
      </c>
      <c r="P136" s="7" t="s">
        <v>594</v>
      </c>
      <c r="Q136" s="34">
        <v>43889</v>
      </c>
      <c r="R136" s="33" t="s">
        <v>596</v>
      </c>
      <c r="S136" s="34">
        <v>44217</v>
      </c>
      <c r="T136" s="36">
        <v>0.77497199999999999</v>
      </c>
      <c r="U136" s="33">
        <v>24</v>
      </c>
      <c r="V136" s="37">
        <v>1563840.23</v>
      </c>
      <c r="W136" s="37">
        <f>Tabla1[[#This Row],[V.I. Adj]]/1000000</f>
        <v>1.5638402300000001</v>
      </c>
      <c r="X136" s="48" t="s">
        <v>317</v>
      </c>
      <c r="Y136" s="48" t="s">
        <v>317</v>
      </c>
      <c r="Z136" s="48" t="s">
        <v>317</v>
      </c>
      <c r="AA136" s="48" t="s">
        <v>317</v>
      </c>
      <c r="AB136" s="48" t="s">
        <v>317</v>
      </c>
      <c r="AC136" s="7" t="s">
        <v>722</v>
      </c>
      <c r="AD136" s="39" t="s">
        <v>317</v>
      </c>
      <c r="AE136" s="39" t="s">
        <v>317</v>
      </c>
      <c r="AF136" s="7" t="s">
        <v>723</v>
      </c>
      <c r="AG136" s="50">
        <v>4</v>
      </c>
      <c r="AH136" s="41">
        <v>43347</v>
      </c>
      <c r="AI136" s="41">
        <v>43412</v>
      </c>
      <c r="AJ136" s="50" t="s">
        <v>317</v>
      </c>
      <c r="AK136" s="42">
        <v>44032</v>
      </c>
      <c r="AM136" s="43" t="s">
        <v>724</v>
      </c>
    </row>
    <row r="137" spans="1:39" s="7" customFormat="1" x14ac:dyDescent="0.25">
      <c r="A137" s="7" t="str">
        <f>+MID(Tabla1[[#This Row],[N° Decreto
Expansión]],1,4)</f>
        <v>2018</v>
      </c>
      <c r="B137" s="7" t="str">
        <f>+RIGHT(Tabla1[[#This Row],[N° Decreto
Expansión]],3)</f>
        <v>293</v>
      </c>
      <c r="C137" s="32" t="s">
        <v>593</v>
      </c>
      <c r="D137" s="7" t="s">
        <v>307</v>
      </c>
      <c r="E137" s="7" t="s">
        <v>17</v>
      </c>
      <c r="F137" s="7" t="s">
        <v>308</v>
      </c>
      <c r="G137" s="45" t="s">
        <v>309</v>
      </c>
      <c r="H137" s="7" t="s">
        <v>358</v>
      </c>
      <c r="I137" s="7" t="s">
        <v>359</v>
      </c>
      <c r="J137" s="7">
        <v>1</v>
      </c>
      <c r="K137" s="33" t="s">
        <v>312</v>
      </c>
      <c r="L137" s="7" t="s">
        <v>408</v>
      </c>
      <c r="M137" s="7" t="s">
        <v>408</v>
      </c>
      <c r="N137" s="7" t="s">
        <v>725</v>
      </c>
      <c r="O137" s="7" t="s">
        <v>361</v>
      </c>
      <c r="P137" s="7" t="s">
        <v>319</v>
      </c>
      <c r="Q137" s="33" t="s">
        <v>317</v>
      </c>
      <c r="R137" s="33" t="s">
        <v>317</v>
      </c>
      <c r="S137" s="33" t="s">
        <v>317</v>
      </c>
      <c r="T137" s="36">
        <v>0.24454799999999999</v>
      </c>
      <c r="U137" s="33">
        <v>12</v>
      </c>
      <c r="V137" s="46" t="s">
        <v>319</v>
      </c>
      <c r="W137" s="51" t="s">
        <v>319</v>
      </c>
      <c r="X137" s="48" t="s">
        <v>317</v>
      </c>
      <c r="Y137" s="48" t="s">
        <v>317</v>
      </c>
      <c r="Z137" s="48" t="s">
        <v>317</v>
      </c>
      <c r="AA137" s="48" t="s">
        <v>317</v>
      </c>
      <c r="AB137" s="48" t="s">
        <v>317</v>
      </c>
      <c r="AC137" s="7" t="s">
        <v>34</v>
      </c>
      <c r="AD137" s="39" t="s">
        <v>675</v>
      </c>
      <c r="AE137" s="39" t="s">
        <v>317</v>
      </c>
      <c r="AF137" s="7" t="s">
        <v>726</v>
      </c>
      <c r="AG137" s="40" t="s">
        <v>319</v>
      </c>
      <c r="AH137" s="41">
        <v>43347</v>
      </c>
      <c r="AI137" s="41">
        <v>43412</v>
      </c>
      <c r="AJ137" s="50" t="s">
        <v>317</v>
      </c>
      <c r="AK137" s="53" t="s">
        <v>317</v>
      </c>
      <c r="AM137" s="43" t="s">
        <v>727</v>
      </c>
    </row>
    <row r="138" spans="1:39" s="7" customFormat="1" x14ac:dyDescent="0.25">
      <c r="A138" s="7" t="str">
        <f>+MID(Tabla1[[#This Row],[N° Decreto
Expansión]],1,4)</f>
        <v>2018</v>
      </c>
      <c r="B138" s="7" t="str">
        <f>+RIGHT(Tabla1[[#This Row],[N° Decreto
Expansión]],3)</f>
        <v>293</v>
      </c>
      <c r="C138" s="32" t="s">
        <v>593</v>
      </c>
      <c r="D138" s="7" t="s">
        <v>307</v>
      </c>
      <c r="E138" s="7" t="s">
        <v>17</v>
      </c>
      <c r="F138" s="7" t="s">
        <v>308</v>
      </c>
      <c r="G138" s="45" t="s">
        <v>309</v>
      </c>
      <c r="H138" s="7" t="s">
        <v>310</v>
      </c>
      <c r="I138" s="7" t="s">
        <v>363</v>
      </c>
      <c r="J138" s="7">
        <v>3</v>
      </c>
      <c r="K138" s="33" t="s">
        <v>312</v>
      </c>
      <c r="L138" s="7" t="s">
        <v>463</v>
      </c>
      <c r="M138" s="7" t="s">
        <v>463</v>
      </c>
      <c r="N138" s="7" t="s">
        <v>728</v>
      </c>
      <c r="O138" s="7" t="s">
        <v>445</v>
      </c>
      <c r="P138" s="7" t="s">
        <v>363</v>
      </c>
      <c r="Q138" s="34">
        <v>44005</v>
      </c>
      <c r="R138" s="33" t="s">
        <v>317</v>
      </c>
      <c r="S138" s="33" t="s">
        <v>317</v>
      </c>
      <c r="T138" s="36">
        <v>1.8884639999999999</v>
      </c>
      <c r="U138" s="33">
        <v>18</v>
      </c>
      <c r="V138" s="37">
        <v>1895150.29</v>
      </c>
      <c r="W138" s="37">
        <f>Tabla1[[#This Row],[V.I. Adj]]/1000000</f>
        <v>1.8951502900000001</v>
      </c>
      <c r="X138" s="48" t="s">
        <v>317</v>
      </c>
      <c r="Y138" s="48" t="s">
        <v>317</v>
      </c>
      <c r="Z138" s="48" t="s">
        <v>317</v>
      </c>
      <c r="AA138" s="48" t="s">
        <v>317</v>
      </c>
      <c r="AB138" s="48" t="s">
        <v>317</v>
      </c>
      <c r="AC138" s="7" t="s">
        <v>27</v>
      </c>
      <c r="AD138" s="39" t="s">
        <v>317</v>
      </c>
      <c r="AE138" s="39" t="s">
        <v>317</v>
      </c>
      <c r="AF138" s="7" t="s">
        <v>729</v>
      </c>
      <c r="AG138" s="50">
        <v>418</v>
      </c>
      <c r="AH138" s="41">
        <v>43347</v>
      </c>
      <c r="AI138" s="41">
        <v>43412</v>
      </c>
      <c r="AJ138" s="50" t="s">
        <v>317</v>
      </c>
      <c r="AK138" s="53" t="s">
        <v>317</v>
      </c>
      <c r="AM138" s="43" t="s">
        <v>730</v>
      </c>
    </row>
    <row r="139" spans="1:39" s="7" customFormat="1" x14ac:dyDescent="0.25">
      <c r="A139" s="7" t="str">
        <f>+MID(Tabla1[[#This Row],[N° Decreto
Expansión]],1,4)</f>
        <v>2018</v>
      </c>
      <c r="B139" s="7" t="str">
        <f>+RIGHT(Tabla1[[#This Row],[N° Decreto
Expansión]],3)</f>
        <v>293</v>
      </c>
      <c r="C139" s="32" t="s">
        <v>593</v>
      </c>
      <c r="D139" s="7" t="s">
        <v>307</v>
      </c>
      <c r="E139" s="7" t="s">
        <v>17</v>
      </c>
      <c r="F139" s="7" t="s">
        <v>308</v>
      </c>
      <c r="G139" s="45" t="s">
        <v>309</v>
      </c>
      <c r="H139" s="7" t="s">
        <v>358</v>
      </c>
      <c r="I139" s="7" t="s">
        <v>359</v>
      </c>
      <c r="J139" s="7">
        <v>1</v>
      </c>
      <c r="K139" s="33" t="s">
        <v>312</v>
      </c>
      <c r="L139" s="7" t="s">
        <v>392</v>
      </c>
      <c r="M139" s="7" t="s">
        <v>392</v>
      </c>
      <c r="N139" s="7" t="s">
        <v>731</v>
      </c>
      <c r="O139" s="7" t="s">
        <v>361</v>
      </c>
      <c r="P139" s="7" t="s">
        <v>319</v>
      </c>
      <c r="Q139" s="33" t="s">
        <v>317</v>
      </c>
      <c r="R139" s="33" t="s">
        <v>317</v>
      </c>
      <c r="S139" s="33" t="s">
        <v>317</v>
      </c>
      <c r="T139" s="36">
        <v>1.036734</v>
      </c>
      <c r="U139" s="33">
        <v>18</v>
      </c>
      <c r="V139" s="46" t="s">
        <v>319</v>
      </c>
      <c r="W139" s="51" t="s">
        <v>319</v>
      </c>
      <c r="X139" s="48" t="s">
        <v>317</v>
      </c>
      <c r="Y139" s="48" t="s">
        <v>317</v>
      </c>
      <c r="Z139" s="48" t="s">
        <v>317</v>
      </c>
      <c r="AA139" s="48" t="s">
        <v>317</v>
      </c>
      <c r="AB139" s="48" t="s">
        <v>317</v>
      </c>
      <c r="AC139" s="7" t="s">
        <v>27</v>
      </c>
      <c r="AD139" s="39" t="s">
        <v>317</v>
      </c>
      <c r="AE139" s="39" t="s">
        <v>317</v>
      </c>
      <c r="AF139" s="7" t="s">
        <v>732</v>
      </c>
      <c r="AG139" s="50">
        <v>418</v>
      </c>
      <c r="AH139" s="41">
        <v>43347</v>
      </c>
      <c r="AI139" s="41">
        <v>43412</v>
      </c>
      <c r="AJ139" s="50" t="s">
        <v>317</v>
      </c>
      <c r="AK139" s="53" t="s">
        <v>317</v>
      </c>
      <c r="AM139" s="43" t="s">
        <v>733</v>
      </c>
    </row>
    <row r="140" spans="1:39" s="7" customFormat="1" x14ac:dyDescent="0.25">
      <c r="A140" s="7" t="str">
        <f>+MID(Tabla1[[#This Row],[N° Decreto
Expansión]],1,4)</f>
        <v>2018</v>
      </c>
      <c r="B140" s="7" t="str">
        <f>+RIGHT(Tabla1[[#This Row],[N° Decreto
Expansión]],3)</f>
        <v>293</v>
      </c>
      <c r="C140" s="32" t="s">
        <v>593</v>
      </c>
      <c r="D140" s="7" t="s">
        <v>307</v>
      </c>
      <c r="E140" s="7" t="s">
        <v>17</v>
      </c>
      <c r="F140" s="7" t="s">
        <v>308</v>
      </c>
      <c r="G140" s="7" t="s">
        <v>309</v>
      </c>
      <c r="H140" s="7" t="s">
        <v>310</v>
      </c>
      <c r="I140" s="7" t="s">
        <v>604</v>
      </c>
      <c r="J140" s="7">
        <v>1</v>
      </c>
      <c r="K140" s="33" t="s">
        <v>312</v>
      </c>
      <c r="L140" s="7" t="s">
        <v>443</v>
      </c>
      <c r="M140" s="7" t="s">
        <v>443</v>
      </c>
      <c r="N140" s="7" t="s">
        <v>734</v>
      </c>
      <c r="O140" s="7" t="s">
        <v>665</v>
      </c>
      <c r="P140" s="7" t="s">
        <v>604</v>
      </c>
      <c r="Q140" s="34">
        <v>43817</v>
      </c>
      <c r="R140" s="33" t="s">
        <v>607</v>
      </c>
      <c r="S140" s="34">
        <v>44168</v>
      </c>
      <c r="T140" s="36">
        <v>2.0206810000000002</v>
      </c>
      <c r="U140" s="33">
        <v>18</v>
      </c>
      <c r="V140" s="37">
        <v>3494430</v>
      </c>
      <c r="W140" s="37">
        <f>Tabla1[[#This Row],[V.I. Adj]]/1000000</f>
        <v>3.4944299999999999</v>
      </c>
      <c r="X140" s="38" t="s">
        <v>317</v>
      </c>
      <c r="Y140" s="38" t="s">
        <v>317</v>
      </c>
      <c r="Z140" s="38" t="s">
        <v>317</v>
      </c>
      <c r="AA140" s="38" t="s">
        <v>317</v>
      </c>
      <c r="AB140" s="38" t="s">
        <v>317</v>
      </c>
      <c r="AC140" s="7" t="s">
        <v>27</v>
      </c>
      <c r="AD140" s="39" t="s">
        <v>713</v>
      </c>
      <c r="AE140" s="39" t="s">
        <v>317</v>
      </c>
      <c r="AF140" s="7" t="s">
        <v>735</v>
      </c>
      <c r="AG140" s="40" t="s">
        <v>319</v>
      </c>
      <c r="AH140" s="41">
        <v>43347</v>
      </c>
      <c r="AI140" s="41">
        <v>43412</v>
      </c>
      <c r="AJ140" s="41">
        <v>43854</v>
      </c>
      <c r="AK140" s="42">
        <v>43892</v>
      </c>
      <c r="AM140" s="43" t="s">
        <v>736</v>
      </c>
    </row>
    <row r="141" spans="1:39" s="7" customFormat="1" x14ac:dyDescent="0.25">
      <c r="A141" s="7" t="str">
        <f>+MID(Tabla1[[#This Row],[N° Decreto
Expansión]],1,4)</f>
        <v>2018</v>
      </c>
      <c r="B141" s="7" t="str">
        <f>+RIGHT(Tabla1[[#This Row],[N° Decreto
Expansión]],3)</f>
        <v>293</v>
      </c>
      <c r="C141" s="32" t="s">
        <v>593</v>
      </c>
      <c r="D141" s="7" t="s">
        <v>307</v>
      </c>
      <c r="E141" s="7" t="s">
        <v>17</v>
      </c>
      <c r="F141" s="7" t="s">
        <v>308</v>
      </c>
      <c r="G141" s="7" t="s">
        <v>309</v>
      </c>
      <c r="H141" s="7" t="s">
        <v>310</v>
      </c>
      <c r="I141" s="7" t="s">
        <v>604</v>
      </c>
      <c r="J141" s="7">
        <v>1</v>
      </c>
      <c r="K141" s="33" t="s">
        <v>312</v>
      </c>
      <c r="L141" s="7" t="s">
        <v>408</v>
      </c>
      <c r="M141" s="7" t="s">
        <v>408</v>
      </c>
      <c r="N141" s="7" t="s">
        <v>737</v>
      </c>
      <c r="O141" s="7" t="s">
        <v>738</v>
      </c>
      <c r="P141" s="7" t="s">
        <v>604</v>
      </c>
      <c r="Q141" s="34">
        <v>43817</v>
      </c>
      <c r="R141" s="33" t="s">
        <v>607</v>
      </c>
      <c r="S141" s="34">
        <v>44168</v>
      </c>
      <c r="T141" s="36">
        <v>2.1084960000000001</v>
      </c>
      <c r="U141" s="33">
        <v>12</v>
      </c>
      <c r="V141" s="37">
        <v>3391581</v>
      </c>
      <c r="W141" s="37">
        <f>Tabla1[[#This Row],[V.I. Adj]]/1000000</f>
        <v>3.391581</v>
      </c>
      <c r="X141" s="38" t="s">
        <v>317</v>
      </c>
      <c r="Y141" s="38" t="s">
        <v>317</v>
      </c>
      <c r="Z141" s="38" t="s">
        <v>317</v>
      </c>
      <c r="AA141" s="38" t="s">
        <v>317</v>
      </c>
      <c r="AB141" s="38" t="s">
        <v>317</v>
      </c>
      <c r="AC141" s="7" t="s">
        <v>27</v>
      </c>
      <c r="AD141" s="39" t="s">
        <v>739</v>
      </c>
      <c r="AE141" s="39" t="s">
        <v>317</v>
      </c>
      <c r="AF141" s="7" t="s">
        <v>740</v>
      </c>
      <c r="AG141" s="40" t="s">
        <v>319</v>
      </c>
      <c r="AH141" s="41">
        <v>43347</v>
      </c>
      <c r="AI141" s="41">
        <v>43412</v>
      </c>
      <c r="AJ141" s="41">
        <v>43854</v>
      </c>
      <c r="AK141" s="42">
        <v>43892</v>
      </c>
      <c r="AM141" s="43" t="s">
        <v>741</v>
      </c>
    </row>
    <row r="142" spans="1:39" s="7" customFormat="1" x14ac:dyDescent="0.25">
      <c r="A142" s="7" t="str">
        <f>+MID(Tabla1[[#This Row],[N° Decreto
Expansión]],1,4)</f>
        <v>2018</v>
      </c>
      <c r="B142" s="7" t="str">
        <f>+RIGHT(Tabla1[[#This Row],[N° Decreto
Expansión]],3)</f>
        <v>293</v>
      </c>
      <c r="C142" s="32" t="s">
        <v>593</v>
      </c>
      <c r="D142" s="7" t="s">
        <v>307</v>
      </c>
      <c r="E142" s="7" t="s">
        <v>17</v>
      </c>
      <c r="F142" s="7" t="s">
        <v>308</v>
      </c>
      <c r="G142" s="7" t="s">
        <v>309</v>
      </c>
      <c r="H142" s="7" t="s">
        <v>310</v>
      </c>
      <c r="I142" s="7" t="s">
        <v>604</v>
      </c>
      <c r="J142" s="7">
        <v>1</v>
      </c>
      <c r="K142" s="33" t="s">
        <v>312</v>
      </c>
      <c r="L142" s="7" t="s">
        <v>432</v>
      </c>
      <c r="M142" s="7" t="s">
        <v>432</v>
      </c>
      <c r="N142" s="7" t="s">
        <v>742</v>
      </c>
      <c r="O142" s="7" t="s">
        <v>665</v>
      </c>
      <c r="P142" s="7" t="s">
        <v>604</v>
      </c>
      <c r="Q142" s="34">
        <v>43817</v>
      </c>
      <c r="R142" s="33" t="s">
        <v>607</v>
      </c>
      <c r="S142" s="34">
        <v>44168</v>
      </c>
      <c r="T142" s="36">
        <v>3.6002879999999999</v>
      </c>
      <c r="U142" s="33">
        <v>24</v>
      </c>
      <c r="V142" s="37">
        <v>4101059</v>
      </c>
      <c r="W142" s="37">
        <f>Tabla1[[#This Row],[V.I. Adj]]/1000000</f>
        <v>4.1010590000000002</v>
      </c>
      <c r="X142" s="38" t="s">
        <v>317</v>
      </c>
      <c r="Y142" s="38" t="s">
        <v>317</v>
      </c>
      <c r="Z142" s="38" t="s">
        <v>317</v>
      </c>
      <c r="AA142" s="38" t="s">
        <v>317</v>
      </c>
      <c r="AB142" s="38" t="s">
        <v>317</v>
      </c>
      <c r="AC142" s="7" t="s">
        <v>27</v>
      </c>
      <c r="AD142" s="39" t="s">
        <v>743</v>
      </c>
      <c r="AE142" s="39" t="s">
        <v>317</v>
      </c>
      <c r="AF142" s="7" t="s">
        <v>744</v>
      </c>
      <c r="AG142" s="40" t="s">
        <v>319</v>
      </c>
      <c r="AH142" s="41">
        <v>43347</v>
      </c>
      <c r="AI142" s="41">
        <v>43412</v>
      </c>
      <c r="AJ142" s="41">
        <v>43854</v>
      </c>
      <c r="AK142" s="42">
        <v>43892</v>
      </c>
      <c r="AM142" s="43" t="s">
        <v>745</v>
      </c>
    </row>
    <row r="143" spans="1:39" s="7" customFormat="1" x14ac:dyDescent="0.25">
      <c r="A143" s="7" t="str">
        <f>+MID(Tabla1[[#This Row],[N° Decreto
Expansión]],1,4)</f>
        <v>2018</v>
      </c>
      <c r="B143" s="7" t="str">
        <f>+RIGHT(Tabla1[[#This Row],[N° Decreto
Expansión]],3)</f>
        <v>293</v>
      </c>
      <c r="C143" s="32" t="s">
        <v>593</v>
      </c>
      <c r="D143" s="7" t="s">
        <v>307</v>
      </c>
      <c r="E143" s="7" t="s">
        <v>17</v>
      </c>
      <c r="F143" s="7" t="s">
        <v>308</v>
      </c>
      <c r="G143" s="7" t="s">
        <v>309</v>
      </c>
      <c r="H143" s="7" t="s">
        <v>310</v>
      </c>
      <c r="I143" s="7" t="s">
        <v>604</v>
      </c>
      <c r="J143" s="7">
        <v>1</v>
      </c>
      <c r="K143" s="33" t="s">
        <v>33</v>
      </c>
      <c r="L143" s="7" t="s">
        <v>443</v>
      </c>
      <c r="M143" s="7" t="s">
        <v>443</v>
      </c>
      <c r="N143" s="7" t="s">
        <v>746</v>
      </c>
      <c r="O143" s="7" t="s">
        <v>665</v>
      </c>
      <c r="P143" s="7" t="s">
        <v>604</v>
      </c>
      <c r="Q143" s="34">
        <v>43817</v>
      </c>
      <c r="R143" s="33" t="s">
        <v>607</v>
      </c>
      <c r="S143" s="34">
        <v>44168</v>
      </c>
      <c r="T143" s="36">
        <v>0.54486100000000004</v>
      </c>
      <c r="U143" s="33">
        <v>24</v>
      </c>
      <c r="V143" s="37">
        <v>1422333.4122137406</v>
      </c>
      <c r="W143" s="37">
        <f>Tabla1[[#This Row],[V.I. Adj]]/1000000</f>
        <v>1.4223334122137405</v>
      </c>
      <c r="X143" s="38" t="s">
        <v>317</v>
      </c>
      <c r="Y143" s="38" t="s">
        <v>317</v>
      </c>
      <c r="Z143" s="38" t="s">
        <v>317</v>
      </c>
      <c r="AA143" s="38" t="s">
        <v>317</v>
      </c>
      <c r="AB143" s="38" t="s">
        <v>317</v>
      </c>
      <c r="AC143" s="7" t="s">
        <v>27</v>
      </c>
      <c r="AD143" s="39" t="s">
        <v>713</v>
      </c>
      <c r="AE143" s="39" t="s">
        <v>714</v>
      </c>
      <c r="AF143" s="7" t="s">
        <v>747</v>
      </c>
      <c r="AG143" s="40" t="s">
        <v>319</v>
      </c>
      <c r="AH143" s="41">
        <v>43347</v>
      </c>
      <c r="AI143" s="41">
        <v>43412</v>
      </c>
      <c r="AJ143" s="41">
        <v>43854</v>
      </c>
      <c r="AK143" s="42">
        <v>43892</v>
      </c>
      <c r="AM143" s="43" t="s">
        <v>748</v>
      </c>
    </row>
    <row r="144" spans="1:39" s="7" customFormat="1" x14ac:dyDescent="0.25">
      <c r="A144" s="7" t="str">
        <f>+MID(Tabla1[[#This Row],[N° Decreto
Expansión]],1,4)</f>
        <v>2018</v>
      </c>
      <c r="B144" s="7" t="str">
        <f>+RIGHT(Tabla1[[#This Row],[N° Decreto
Expansión]],3)</f>
        <v>293</v>
      </c>
      <c r="C144" s="32" t="s">
        <v>593</v>
      </c>
      <c r="D144" s="7" t="s">
        <v>307</v>
      </c>
      <c r="E144" s="7" t="s">
        <v>17</v>
      </c>
      <c r="F144" s="7" t="s">
        <v>308</v>
      </c>
      <c r="G144" s="45" t="s">
        <v>309</v>
      </c>
      <c r="H144" s="7" t="s">
        <v>358</v>
      </c>
      <c r="I144" s="7" t="s">
        <v>359</v>
      </c>
      <c r="J144" s="7">
        <v>1</v>
      </c>
      <c r="K144" s="33" t="s">
        <v>33</v>
      </c>
      <c r="L144" s="7" t="s">
        <v>392</v>
      </c>
      <c r="M144" s="7" t="s">
        <v>392</v>
      </c>
      <c r="N144" s="7" t="s">
        <v>749</v>
      </c>
      <c r="O144" s="7" t="s">
        <v>361</v>
      </c>
      <c r="P144" s="7" t="s">
        <v>319</v>
      </c>
      <c r="Q144" s="33" t="s">
        <v>317</v>
      </c>
      <c r="R144" s="33" t="s">
        <v>317</v>
      </c>
      <c r="S144" s="33" t="s">
        <v>317</v>
      </c>
      <c r="T144" s="36">
        <v>1.1030960000000001</v>
      </c>
      <c r="U144" s="33">
        <v>24</v>
      </c>
      <c r="V144" s="46" t="s">
        <v>319</v>
      </c>
      <c r="W144" s="51" t="s">
        <v>319</v>
      </c>
      <c r="X144" s="48" t="s">
        <v>317</v>
      </c>
      <c r="Y144" s="48" t="s">
        <v>317</v>
      </c>
      <c r="Z144" s="48" t="s">
        <v>317</v>
      </c>
      <c r="AA144" s="48" t="s">
        <v>317</v>
      </c>
      <c r="AB144" s="48" t="s">
        <v>317</v>
      </c>
      <c r="AC144" s="7" t="s">
        <v>27</v>
      </c>
      <c r="AD144" s="39" t="s">
        <v>317</v>
      </c>
      <c r="AE144" s="39" t="s">
        <v>317</v>
      </c>
      <c r="AF144" s="7" t="s">
        <v>750</v>
      </c>
      <c r="AG144" s="50">
        <v>418</v>
      </c>
      <c r="AH144" s="41">
        <v>43347</v>
      </c>
      <c r="AI144" s="41">
        <v>43412</v>
      </c>
      <c r="AJ144" s="50" t="s">
        <v>317</v>
      </c>
      <c r="AK144" s="53" t="s">
        <v>317</v>
      </c>
      <c r="AM144" s="43" t="s">
        <v>751</v>
      </c>
    </row>
    <row r="145" spans="1:39" s="7" customFormat="1" x14ac:dyDescent="0.25">
      <c r="A145" s="7" t="str">
        <f>+MID(Tabla1[[#This Row],[N° Decreto
Expansión]],1,4)</f>
        <v>2018</v>
      </c>
      <c r="B145" s="7" t="str">
        <f>+RIGHT(Tabla1[[#This Row],[N° Decreto
Expansión]],3)</f>
        <v>293</v>
      </c>
      <c r="C145" s="32" t="s">
        <v>593</v>
      </c>
      <c r="D145" s="7" t="s">
        <v>307</v>
      </c>
      <c r="E145" s="7" t="s">
        <v>17</v>
      </c>
      <c r="F145" s="7" t="s">
        <v>308</v>
      </c>
      <c r="G145" s="45" t="s">
        <v>309</v>
      </c>
      <c r="H145" s="7" t="s">
        <v>310</v>
      </c>
      <c r="I145" s="7" t="s">
        <v>604</v>
      </c>
      <c r="J145" s="7">
        <v>1</v>
      </c>
      <c r="K145" s="33" t="s">
        <v>312</v>
      </c>
      <c r="L145" s="7" t="s">
        <v>475</v>
      </c>
      <c r="M145" s="7" t="s">
        <v>475</v>
      </c>
      <c r="N145" s="7" t="s">
        <v>752</v>
      </c>
      <c r="O145" s="7" t="s">
        <v>477</v>
      </c>
      <c r="P145" s="7" t="s">
        <v>604</v>
      </c>
      <c r="Q145" s="34">
        <v>43817</v>
      </c>
      <c r="R145" s="33" t="s">
        <v>607</v>
      </c>
      <c r="S145" s="34">
        <v>44168</v>
      </c>
      <c r="T145" s="36">
        <v>3.1329069999999999</v>
      </c>
      <c r="U145" s="33">
        <v>24</v>
      </c>
      <c r="V145" s="37">
        <v>4124191</v>
      </c>
      <c r="W145" s="37">
        <f>Tabla1[[#This Row],[V.I. Adj]]/1000000</f>
        <v>4.1241909999999997</v>
      </c>
      <c r="X145" s="48" t="s">
        <v>317</v>
      </c>
      <c r="Y145" s="48" t="s">
        <v>317</v>
      </c>
      <c r="Z145" s="48" t="s">
        <v>317</v>
      </c>
      <c r="AA145" s="48" t="s">
        <v>317</v>
      </c>
      <c r="AB145" s="48" t="s">
        <v>317</v>
      </c>
      <c r="AC145" s="7" t="s">
        <v>753</v>
      </c>
      <c r="AD145" s="39" t="s">
        <v>739</v>
      </c>
      <c r="AE145" s="39" t="s">
        <v>317</v>
      </c>
      <c r="AF145" s="7" t="s">
        <v>754</v>
      </c>
      <c r="AG145" s="40" t="s">
        <v>319</v>
      </c>
      <c r="AH145" s="41">
        <v>43347</v>
      </c>
      <c r="AI145" s="41">
        <v>43412</v>
      </c>
      <c r="AJ145" s="50" t="s">
        <v>317</v>
      </c>
      <c r="AK145" s="42">
        <v>43892</v>
      </c>
      <c r="AM145" s="43" t="s">
        <v>755</v>
      </c>
    </row>
    <row r="146" spans="1:39" s="7" customFormat="1" x14ac:dyDescent="0.25">
      <c r="A146" s="7" t="str">
        <f>+MID(Tabla1[[#This Row],[N° Decreto
Expansión]],1,4)</f>
        <v>2019</v>
      </c>
      <c r="B146" s="7" t="str">
        <f>+RIGHT(Tabla1[[#This Row],[N° Decreto
Expansión]],3)</f>
        <v>004</v>
      </c>
      <c r="C146" s="32" t="s">
        <v>756</v>
      </c>
      <c r="D146" s="7" t="s">
        <v>562</v>
      </c>
      <c r="E146" s="7" t="s">
        <v>479</v>
      </c>
      <c r="F146" s="7" t="s">
        <v>480</v>
      </c>
      <c r="G146" s="45" t="s">
        <v>309</v>
      </c>
      <c r="H146" s="7" t="s">
        <v>310</v>
      </c>
      <c r="I146" s="7" t="s">
        <v>757</v>
      </c>
      <c r="J146" s="7">
        <v>1</v>
      </c>
      <c r="K146" s="33" t="s">
        <v>312</v>
      </c>
      <c r="L146" s="7" t="s">
        <v>324</v>
      </c>
      <c r="M146" s="7" t="s">
        <v>324</v>
      </c>
      <c r="N146" s="7" t="s">
        <v>758</v>
      </c>
      <c r="O146" s="7" t="s">
        <v>590</v>
      </c>
      <c r="P146" s="7" t="s">
        <v>757</v>
      </c>
      <c r="Q146" s="34">
        <v>43875</v>
      </c>
      <c r="R146" s="33" t="s">
        <v>759</v>
      </c>
      <c r="S146" s="33" t="s">
        <v>317</v>
      </c>
      <c r="T146" s="36">
        <v>54.311315999999998</v>
      </c>
      <c r="U146" s="33">
        <v>36</v>
      </c>
      <c r="V146" s="37">
        <v>22359768.842643391</v>
      </c>
      <c r="W146" s="37">
        <f>Tabla1[[#This Row],[V.I. Adj]]/1000000</f>
        <v>22.35976884264339</v>
      </c>
      <c r="X146" s="37">
        <v>2110604</v>
      </c>
      <c r="Y146" s="37">
        <v>933583</v>
      </c>
      <c r="Z146" s="54">
        <v>3044187</v>
      </c>
      <c r="AA146" s="54">
        <v>20</v>
      </c>
      <c r="AB146" s="55">
        <v>7.0000000000000007E-2</v>
      </c>
      <c r="AC146" s="7" t="s">
        <v>317</v>
      </c>
      <c r="AD146" s="7" t="s">
        <v>760</v>
      </c>
      <c r="AE146" s="7" t="s">
        <v>317</v>
      </c>
      <c r="AF146" s="7" t="s">
        <v>761</v>
      </c>
      <c r="AG146" s="40" t="s">
        <v>319</v>
      </c>
      <c r="AH146" s="41">
        <v>43347</v>
      </c>
      <c r="AI146" s="41">
        <v>43474</v>
      </c>
      <c r="AJ146" s="50" t="s">
        <v>317</v>
      </c>
      <c r="AK146" s="42">
        <v>43935</v>
      </c>
      <c r="AM146" s="43" t="s">
        <v>761</v>
      </c>
    </row>
    <row r="147" spans="1:39" s="7" customFormat="1" x14ac:dyDescent="0.25">
      <c r="A147" s="7" t="str">
        <f>+MID(Tabla1[[#This Row],[N° Decreto
Expansión]],1,4)</f>
        <v>2019</v>
      </c>
      <c r="B147" s="7" t="str">
        <f>+RIGHT(Tabla1[[#This Row],[N° Decreto
Expansión]],3)</f>
        <v>004</v>
      </c>
      <c r="C147" s="32" t="s">
        <v>756</v>
      </c>
      <c r="D147" s="7" t="s">
        <v>562</v>
      </c>
      <c r="E147" s="7" t="s">
        <v>479</v>
      </c>
      <c r="F147" s="7" t="s">
        <v>480</v>
      </c>
      <c r="G147" s="45" t="s">
        <v>309</v>
      </c>
      <c r="H147" s="7" t="s">
        <v>310</v>
      </c>
      <c r="I147" s="7" t="s">
        <v>757</v>
      </c>
      <c r="J147" s="7">
        <v>1</v>
      </c>
      <c r="K147" s="33" t="s">
        <v>312</v>
      </c>
      <c r="L147" s="7" t="s">
        <v>443</v>
      </c>
      <c r="M147" s="7" t="s">
        <v>443</v>
      </c>
      <c r="N147" s="7" t="s">
        <v>762</v>
      </c>
      <c r="O147" s="7" t="s">
        <v>34</v>
      </c>
      <c r="P147" s="7" t="s">
        <v>757</v>
      </c>
      <c r="Q147" s="34">
        <v>43875</v>
      </c>
      <c r="R147" s="33" t="s">
        <v>759</v>
      </c>
      <c r="S147" s="33" t="s">
        <v>317</v>
      </c>
      <c r="T147" s="36">
        <v>19.110662000000001</v>
      </c>
      <c r="U147" s="33">
        <v>36</v>
      </c>
      <c r="V147" s="37">
        <v>10206093.225888096</v>
      </c>
      <c r="W147" s="37">
        <f>Tabla1[[#This Row],[V.I. Adj]]/1000000</f>
        <v>10.206093225888095</v>
      </c>
      <c r="X147" s="37">
        <v>963383</v>
      </c>
      <c r="Y147" s="37">
        <v>334437</v>
      </c>
      <c r="Z147" s="54">
        <v>1297820</v>
      </c>
      <c r="AA147" s="54">
        <v>20</v>
      </c>
      <c r="AB147" s="55">
        <v>7.0000000000000007E-2</v>
      </c>
      <c r="AC147" s="7" t="s">
        <v>317</v>
      </c>
      <c r="AD147" s="7" t="s">
        <v>317</v>
      </c>
      <c r="AE147" s="7" t="s">
        <v>317</v>
      </c>
      <c r="AF147" s="7" t="s">
        <v>763</v>
      </c>
      <c r="AG147" s="40" t="s">
        <v>319</v>
      </c>
      <c r="AH147" s="41">
        <v>43347</v>
      </c>
      <c r="AI147" s="41">
        <v>43474</v>
      </c>
      <c r="AJ147" s="50" t="s">
        <v>317</v>
      </c>
      <c r="AK147" s="42">
        <v>43935</v>
      </c>
      <c r="AM147" s="43" t="s">
        <v>763</v>
      </c>
    </row>
    <row r="148" spans="1:39" s="7" customFormat="1" x14ac:dyDescent="0.25">
      <c r="A148" s="7" t="str">
        <f>+MID(Tabla1[[#This Row],[N° Decreto
Expansión]],1,4)</f>
        <v>2019</v>
      </c>
      <c r="B148" s="7" t="str">
        <f>+RIGHT(Tabla1[[#This Row],[N° Decreto
Expansión]],3)</f>
        <v>004</v>
      </c>
      <c r="C148" s="32" t="s">
        <v>756</v>
      </c>
      <c r="D148" s="7" t="s">
        <v>562</v>
      </c>
      <c r="E148" s="7" t="s">
        <v>479</v>
      </c>
      <c r="F148" s="7" t="s">
        <v>480</v>
      </c>
      <c r="G148" s="45" t="s">
        <v>309</v>
      </c>
      <c r="H148" s="7" t="s">
        <v>310</v>
      </c>
      <c r="I148" s="7" t="s">
        <v>757</v>
      </c>
      <c r="J148" s="7">
        <v>1</v>
      </c>
      <c r="K148" s="33" t="s">
        <v>33</v>
      </c>
      <c r="L148" s="7" t="s">
        <v>338</v>
      </c>
      <c r="M148" s="7" t="s">
        <v>338</v>
      </c>
      <c r="N148" s="7" t="s">
        <v>764</v>
      </c>
      <c r="O148" s="7" t="s">
        <v>765</v>
      </c>
      <c r="P148" s="7" t="s">
        <v>757</v>
      </c>
      <c r="Q148" s="34">
        <v>43875</v>
      </c>
      <c r="R148" s="33" t="s">
        <v>759</v>
      </c>
      <c r="S148" s="33" t="s">
        <v>317</v>
      </c>
      <c r="T148" s="36">
        <v>14.977131999999999</v>
      </c>
      <c r="U148" s="33">
        <v>36</v>
      </c>
      <c r="V148" s="37">
        <v>2821260.1516806725</v>
      </c>
      <c r="W148" s="37">
        <f>Tabla1[[#This Row],[V.I. Adj]]/1000000</f>
        <v>2.8212601516806726</v>
      </c>
      <c r="X148" s="37">
        <v>266307</v>
      </c>
      <c r="Y148" s="37">
        <v>55912</v>
      </c>
      <c r="Z148" s="54">
        <v>322219</v>
      </c>
      <c r="AA148" s="54">
        <v>20</v>
      </c>
      <c r="AB148" s="55">
        <v>7.0000000000000007E-2</v>
      </c>
      <c r="AC148" s="7" t="s">
        <v>317</v>
      </c>
      <c r="AD148" s="7" t="s">
        <v>317</v>
      </c>
      <c r="AE148" s="7" t="s">
        <v>317</v>
      </c>
      <c r="AF148" s="7" t="s">
        <v>766</v>
      </c>
      <c r="AG148" s="40" t="s">
        <v>319</v>
      </c>
      <c r="AH148" s="41">
        <v>43347</v>
      </c>
      <c r="AI148" s="41">
        <v>43474</v>
      </c>
      <c r="AJ148" s="50" t="s">
        <v>317</v>
      </c>
      <c r="AK148" s="42">
        <v>43935</v>
      </c>
      <c r="AM148" s="43" t="s">
        <v>766</v>
      </c>
    </row>
    <row r="149" spans="1:39" s="7" customFormat="1" x14ac:dyDescent="0.25">
      <c r="A149" s="7" t="str">
        <f>+MID(Tabla1[[#This Row],[N° Decreto
Expansión]],1,4)</f>
        <v>2019</v>
      </c>
      <c r="B149" s="7" t="str">
        <f>+RIGHT(Tabla1[[#This Row],[N° Decreto
Expansión]],3)</f>
        <v>004</v>
      </c>
      <c r="C149" s="32" t="s">
        <v>756</v>
      </c>
      <c r="D149" s="7" t="s">
        <v>307</v>
      </c>
      <c r="E149" s="7" t="s">
        <v>479</v>
      </c>
      <c r="F149" s="7" t="s">
        <v>480</v>
      </c>
      <c r="G149" s="45" t="s">
        <v>309</v>
      </c>
      <c r="H149" s="7" t="s">
        <v>310</v>
      </c>
      <c r="I149" s="7" t="s">
        <v>757</v>
      </c>
      <c r="J149" s="7">
        <v>1</v>
      </c>
      <c r="K149" s="33" t="s">
        <v>33</v>
      </c>
      <c r="L149" s="7" t="s">
        <v>324</v>
      </c>
      <c r="M149" s="7" t="s">
        <v>324</v>
      </c>
      <c r="N149" s="7" t="s">
        <v>767</v>
      </c>
      <c r="O149" s="7" t="s">
        <v>565</v>
      </c>
      <c r="P149" s="7" t="s">
        <v>757</v>
      </c>
      <c r="Q149" s="34">
        <v>43875</v>
      </c>
      <c r="R149" s="33" t="s">
        <v>759</v>
      </c>
      <c r="S149" s="33" t="s">
        <v>317</v>
      </c>
      <c r="T149" s="36">
        <v>13.356831</v>
      </c>
      <c r="U149" s="33">
        <v>48</v>
      </c>
      <c r="V149" s="37">
        <v>6751077.9540121555</v>
      </c>
      <c r="W149" s="37">
        <f>Tabla1[[#This Row],[V.I. Adj]]/1000000</f>
        <v>6.7510779540121559</v>
      </c>
      <c r="X149" s="37">
        <v>637254</v>
      </c>
      <c r="Y149" s="37">
        <v>168694</v>
      </c>
      <c r="Z149" s="54">
        <v>805948</v>
      </c>
      <c r="AA149" s="54">
        <v>20</v>
      </c>
      <c r="AB149" s="55">
        <v>7.0000000000000007E-2</v>
      </c>
      <c r="AC149" s="7" t="s">
        <v>317</v>
      </c>
      <c r="AD149" s="7" t="s">
        <v>317</v>
      </c>
      <c r="AE149" s="7" t="s">
        <v>317</v>
      </c>
      <c r="AF149" s="7" t="s">
        <v>768</v>
      </c>
      <c r="AG149" s="40" t="s">
        <v>319</v>
      </c>
      <c r="AH149" s="41">
        <v>43347</v>
      </c>
      <c r="AI149" s="41">
        <v>43474</v>
      </c>
      <c r="AJ149" s="50" t="s">
        <v>317</v>
      </c>
      <c r="AK149" s="42">
        <v>43935</v>
      </c>
      <c r="AM149" s="43" t="s">
        <v>768</v>
      </c>
    </row>
    <row r="150" spans="1:39" s="7" customFormat="1" x14ac:dyDescent="0.25">
      <c r="A150" s="7" t="str">
        <f>+MID(Tabla1[[#This Row],[N° Decreto
Expansión]],1,4)</f>
        <v>2019</v>
      </c>
      <c r="B150" s="7" t="str">
        <f>+RIGHT(Tabla1[[#This Row],[N° Decreto
Expansión]],3)</f>
        <v>004</v>
      </c>
      <c r="C150" s="32" t="s">
        <v>756</v>
      </c>
      <c r="D150" s="7" t="s">
        <v>307</v>
      </c>
      <c r="E150" s="7" t="s">
        <v>479</v>
      </c>
      <c r="F150" s="7" t="s">
        <v>480</v>
      </c>
      <c r="G150" s="45" t="s">
        <v>309</v>
      </c>
      <c r="H150" s="7" t="s">
        <v>310</v>
      </c>
      <c r="I150" s="7" t="s">
        <v>757</v>
      </c>
      <c r="J150" s="7">
        <v>1</v>
      </c>
      <c r="K150" s="33" t="s">
        <v>312</v>
      </c>
      <c r="L150" s="7" t="s">
        <v>324</v>
      </c>
      <c r="M150" s="7" t="s">
        <v>324</v>
      </c>
      <c r="N150" s="7" t="s">
        <v>769</v>
      </c>
      <c r="O150" s="7" t="s">
        <v>565</v>
      </c>
      <c r="P150" s="7" t="s">
        <v>757</v>
      </c>
      <c r="Q150" s="34">
        <v>43875</v>
      </c>
      <c r="R150" s="33" t="s">
        <v>759</v>
      </c>
      <c r="S150" s="33" t="s">
        <v>317</v>
      </c>
      <c r="T150" s="36">
        <v>14.694495</v>
      </c>
      <c r="U150" s="33">
        <v>36</v>
      </c>
      <c r="V150" s="37">
        <v>8517301.4150103647</v>
      </c>
      <c r="W150" s="37">
        <f>Tabla1[[#This Row],[V.I. Adj]]/1000000</f>
        <v>8.5173014150103654</v>
      </c>
      <c r="X150" s="37">
        <v>803973</v>
      </c>
      <c r="Y150" s="37">
        <v>206975</v>
      </c>
      <c r="Z150" s="54">
        <v>1010948</v>
      </c>
      <c r="AA150" s="54">
        <v>20</v>
      </c>
      <c r="AB150" s="55">
        <v>7.0000000000000007E-2</v>
      </c>
      <c r="AC150" s="7" t="s">
        <v>317</v>
      </c>
      <c r="AD150" s="7" t="s">
        <v>317</v>
      </c>
      <c r="AE150" s="7" t="s">
        <v>317</v>
      </c>
      <c r="AF150" s="7" t="s">
        <v>770</v>
      </c>
      <c r="AG150" s="40" t="s">
        <v>319</v>
      </c>
      <c r="AH150" s="41">
        <v>43347</v>
      </c>
      <c r="AI150" s="41">
        <v>43474</v>
      </c>
      <c r="AJ150" s="50" t="s">
        <v>317</v>
      </c>
      <c r="AK150" s="42">
        <v>43935</v>
      </c>
      <c r="AM150" s="43" t="s">
        <v>770</v>
      </c>
    </row>
    <row r="151" spans="1:39" s="7" customFormat="1" x14ac:dyDescent="0.25">
      <c r="A151" s="7" t="str">
        <f>+MID(Tabla1[[#This Row],[N° Decreto
Expansión]],1,4)</f>
        <v>2019</v>
      </c>
      <c r="B151" s="7" t="str">
        <f>+RIGHT(Tabla1[[#This Row],[N° Decreto
Expansión]],3)</f>
        <v>004</v>
      </c>
      <c r="C151" s="32" t="s">
        <v>756</v>
      </c>
      <c r="D151" s="7" t="s">
        <v>307</v>
      </c>
      <c r="E151" s="7" t="s">
        <v>479</v>
      </c>
      <c r="F151" s="7" t="s">
        <v>480</v>
      </c>
      <c r="G151" s="45" t="s">
        <v>309</v>
      </c>
      <c r="H151" s="7" t="s">
        <v>310</v>
      </c>
      <c r="I151" s="7" t="s">
        <v>757</v>
      </c>
      <c r="J151" s="7">
        <v>1</v>
      </c>
      <c r="K151" s="33" t="s">
        <v>312</v>
      </c>
      <c r="L151" s="7" t="s">
        <v>338</v>
      </c>
      <c r="M151" s="7" t="s">
        <v>338</v>
      </c>
      <c r="N151" s="7" t="s">
        <v>771</v>
      </c>
      <c r="O151" s="7" t="s">
        <v>482</v>
      </c>
      <c r="P151" s="7" t="s">
        <v>757</v>
      </c>
      <c r="Q151" s="34">
        <v>43875</v>
      </c>
      <c r="R151" s="33" t="s">
        <v>759</v>
      </c>
      <c r="S151" s="33" t="s">
        <v>317</v>
      </c>
      <c r="T151" s="36">
        <v>6.4942120000000001</v>
      </c>
      <c r="U151" s="33">
        <v>24</v>
      </c>
      <c r="V151" s="37">
        <v>4481268.0258533359</v>
      </c>
      <c r="W151" s="37">
        <f>Tabla1[[#This Row],[V.I. Adj]]/1000000</f>
        <v>4.4812680258533355</v>
      </c>
      <c r="X151" s="37">
        <v>423000</v>
      </c>
      <c r="Y151" s="37">
        <v>105000</v>
      </c>
      <c r="Z151" s="54">
        <v>528000</v>
      </c>
      <c r="AA151" s="54">
        <v>20</v>
      </c>
      <c r="AB151" s="55">
        <v>7.0000000000000007E-2</v>
      </c>
      <c r="AC151" s="7" t="s">
        <v>317</v>
      </c>
      <c r="AD151" s="7" t="s">
        <v>317</v>
      </c>
      <c r="AE151" s="7" t="s">
        <v>317</v>
      </c>
      <c r="AF151" s="7" t="s">
        <v>772</v>
      </c>
      <c r="AG151" s="40" t="s">
        <v>319</v>
      </c>
      <c r="AH151" s="41">
        <v>43347</v>
      </c>
      <c r="AI151" s="41">
        <v>43474</v>
      </c>
      <c r="AJ151" s="50" t="s">
        <v>317</v>
      </c>
      <c r="AK151" s="42">
        <v>43935</v>
      </c>
      <c r="AM151" s="43" t="s">
        <v>772</v>
      </c>
    </row>
    <row r="152" spans="1:39" s="7" customFormat="1" x14ac:dyDescent="0.25">
      <c r="A152" s="7" t="str">
        <f>+MID(Tabla1[[#This Row],[N° Decreto
Expansión]],1,4)</f>
        <v>2019</v>
      </c>
      <c r="B152" s="7" t="str">
        <f>+RIGHT(Tabla1[[#This Row],[N° Decreto
Expansión]],3)</f>
        <v>004</v>
      </c>
      <c r="C152" s="32" t="s">
        <v>756</v>
      </c>
      <c r="D152" s="7" t="s">
        <v>307</v>
      </c>
      <c r="E152" s="7" t="s">
        <v>479</v>
      </c>
      <c r="F152" s="7" t="s">
        <v>480</v>
      </c>
      <c r="G152" s="45" t="s">
        <v>309</v>
      </c>
      <c r="H152" s="7" t="s">
        <v>310</v>
      </c>
      <c r="I152" s="7" t="s">
        <v>757</v>
      </c>
      <c r="J152" s="7">
        <v>1</v>
      </c>
      <c r="K152" s="33" t="s">
        <v>312</v>
      </c>
      <c r="L152" s="7" t="s">
        <v>345</v>
      </c>
      <c r="M152" s="7" t="s">
        <v>345</v>
      </c>
      <c r="N152" s="7" t="s">
        <v>773</v>
      </c>
      <c r="O152" s="7" t="s">
        <v>58</v>
      </c>
      <c r="P152" s="7" t="s">
        <v>757</v>
      </c>
      <c r="Q152" s="34">
        <v>43875</v>
      </c>
      <c r="R152" s="33" t="s">
        <v>759</v>
      </c>
      <c r="S152" s="33" t="s">
        <v>317</v>
      </c>
      <c r="T152" s="36">
        <v>4.0854840000000001</v>
      </c>
      <c r="U152" s="33">
        <v>36</v>
      </c>
      <c r="V152" s="37">
        <v>4090274.7420940711</v>
      </c>
      <c r="W152" s="37">
        <f>Tabla1[[#This Row],[V.I. Adj]]/1000000</f>
        <v>4.0902747420940715</v>
      </c>
      <c r="X152" s="37">
        <v>386093</v>
      </c>
      <c r="Y152" s="37">
        <v>3614</v>
      </c>
      <c r="Z152" s="54">
        <v>389707</v>
      </c>
      <c r="AA152" s="54">
        <v>20</v>
      </c>
      <c r="AB152" s="55">
        <v>7.0000000000000007E-2</v>
      </c>
      <c r="AC152" s="7" t="s">
        <v>317</v>
      </c>
      <c r="AD152" s="7" t="s">
        <v>317</v>
      </c>
      <c r="AE152" s="7" t="s">
        <v>317</v>
      </c>
      <c r="AF152" s="7" t="s">
        <v>774</v>
      </c>
      <c r="AG152" s="40" t="s">
        <v>319</v>
      </c>
      <c r="AH152" s="41">
        <v>43347</v>
      </c>
      <c r="AI152" s="41">
        <v>43474</v>
      </c>
      <c r="AJ152" s="50" t="s">
        <v>317</v>
      </c>
      <c r="AK152" s="42">
        <v>43935</v>
      </c>
      <c r="AM152" s="43" t="s">
        <v>774</v>
      </c>
    </row>
    <row r="153" spans="1:39" s="7" customFormat="1" x14ac:dyDescent="0.25">
      <c r="A153" s="7" t="str">
        <f>+MID(Tabla1[[#This Row],[N° Decreto
Expansión]],1,4)</f>
        <v>2019</v>
      </c>
      <c r="B153" s="7" t="str">
        <f>+RIGHT(Tabla1[[#This Row],[N° Decreto
Expansión]],3)</f>
        <v>004</v>
      </c>
      <c r="C153" s="32" t="s">
        <v>756</v>
      </c>
      <c r="D153" s="7" t="s">
        <v>562</v>
      </c>
      <c r="E153" s="7" t="s">
        <v>479</v>
      </c>
      <c r="F153" s="7" t="s">
        <v>480</v>
      </c>
      <c r="G153" s="45" t="s">
        <v>309</v>
      </c>
      <c r="H153" s="7" t="s">
        <v>310</v>
      </c>
      <c r="I153" s="7" t="s">
        <v>757</v>
      </c>
      <c r="J153" s="7">
        <v>1</v>
      </c>
      <c r="K153" s="33" t="s">
        <v>33</v>
      </c>
      <c r="L153" s="7" t="s">
        <v>324</v>
      </c>
      <c r="M153" s="7" t="s">
        <v>324</v>
      </c>
      <c r="N153" s="7" t="s">
        <v>775</v>
      </c>
      <c r="O153" s="7" t="s">
        <v>590</v>
      </c>
      <c r="P153" s="7" t="s">
        <v>757</v>
      </c>
      <c r="Q153" s="34">
        <v>43875</v>
      </c>
      <c r="R153" s="33" t="s">
        <v>759</v>
      </c>
      <c r="S153" s="33" t="s">
        <v>317</v>
      </c>
      <c r="T153" s="36">
        <v>105.62412500000001</v>
      </c>
      <c r="U153" s="33">
        <v>48</v>
      </c>
      <c r="V153" s="37">
        <v>38383967.563998014</v>
      </c>
      <c r="W153" s="37">
        <f>Tabla1[[#This Row],[V.I. Adj]]/1000000</f>
        <v>38.383967563998013</v>
      </c>
      <c r="X153" s="37">
        <v>3623175</v>
      </c>
      <c r="Y153" s="37">
        <v>1602638</v>
      </c>
      <c r="Z153" s="54">
        <v>5225813</v>
      </c>
      <c r="AA153" s="54">
        <v>20</v>
      </c>
      <c r="AB153" s="55">
        <v>7.0000000000000007E-2</v>
      </c>
      <c r="AC153" s="7" t="s">
        <v>317</v>
      </c>
      <c r="AD153" s="7" t="s">
        <v>760</v>
      </c>
      <c r="AE153" s="7" t="s">
        <v>317</v>
      </c>
      <c r="AF153" s="7" t="s">
        <v>776</v>
      </c>
      <c r="AG153" s="40" t="s">
        <v>319</v>
      </c>
      <c r="AH153" s="41">
        <v>43347</v>
      </c>
      <c r="AI153" s="41">
        <v>43474</v>
      </c>
      <c r="AJ153" s="50" t="s">
        <v>317</v>
      </c>
      <c r="AK153" s="42">
        <v>43935</v>
      </c>
      <c r="AM153" s="43" t="s">
        <v>776</v>
      </c>
    </row>
    <row r="154" spans="1:39" s="7" customFormat="1" x14ac:dyDescent="0.25">
      <c r="A154" s="7" t="str">
        <f>+MID(Tabla1[[#This Row],[N° Decreto
Expansión]],1,4)</f>
        <v>2019</v>
      </c>
      <c r="B154" s="7" t="str">
        <f>+RIGHT(Tabla1[[#This Row],[N° Decreto
Expansión]],3)</f>
        <v>004</v>
      </c>
      <c r="C154" s="32" t="s">
        <v>756</v>
      </c>
      <c r="D154" s="7" t="s">
        <v>562</v>
      </c>
      <c r="E154" s="7" t="s">
        <v>479</v>
      </c>
      <c r="F154" s="7" t="s">
        <v>480</v>
      </c>
      <c r="G154" s="45" t="s">
        <v>309</v>
      </c>
      <c r="H154" s="7" t="s">
        <v>310</v>
      </c>
      <c r="I154" s="7" t="s">
        <v>594</v>
      </c>
      <c r="J154" s="7">
        <v>1</v>
      </c>
      <c r="K154" s="33" t="s">
        <v>33</v>
      </c>
      <c r="L154" s="7" t="s">
        <v>320</v>
      </c>
      <c r="M154" s="7" t="s">
        <v>320</v>
      </c>
      <c r="N154" s="7" t="s">
        <v>777</v>
      </c>
      <c r="O154" s="7" t="s">
        <v>34</v>
      </c>
      <c r="P154" s="7" t="s">
        <v>594</v>
      </c>
      <c r="Q154" s="34">
        <v>43889</v>
      </c>
      <c r="R154" s="33" t="s">
        <v>596</v>
      </c>
      <c r="S154" s="34">
        <v>44217</v>
      </c>
      <c r="T154" s="36">
        <v>19.173358</v>
      </c>
      <c r="U154" s="33">
        <v>48</v>
      </c>
      <c r="V154" s="37">
        <v>9500870.8855925761</v>
      </c>
      <c r="W154" s="37">
        <f>Tabla1[[#This Row],[V.I. Adj]]/1000000</f>
        <v>9.5008708855925761</v>
      </c>
      <c r="X154" s="37">
        <v>896815</v>
      </c>
      <c r="Y154" s="37">
        <v>334585</v>
      </c>
      <c r="Z154" s="54">
        <v>1231400</v>
      </c>
      <c r="AA154" s="54">
        <v>20</v>
      </c>
      <c r="AB154" s="55">
        <v>7.0000000000000007E-2</v>
      </c>
      <c r="AC154" s="7" t="s">
        <v>317</v>
      </c>
      <c r="AD154" s="7" t="s">
        <v>778</v>
      </c>
      <c r="AE154" s="7" t="s">
        <v>317</v>
      </c>
      <c r="AF154" s="7" t="s">
        <v>779</v>
      </c>
      <c r="AG154" s="40" t="s">
        <v>319</v>
      </c>
      <c r="AH154" s="41">
        <v>43347</v>
      </c>
      <c r="AI154" s="41">
        <v>43474</v>
      </c>
      <c r="AJ154" s="50" t="s">
        <v>317</v>
      </c>
      <c r="AK154" s="42">
        <v>44032</v>
      </c>
      <c r="AM154" s="43" t="s">
        <v>779</v>
      </c>
    </row>
    <row r="155" spans="1:39" s="7" customFormat="1" x14ac:dyDescent="0.25">
      <c r="A155" s="7" t="str">
        <f>+MID(Tabla1[[#This Row],[N° Decreto
Expansión]],1,4)</f>
        <v>2019</v>
      </c>
      <c r="B155" s="7" t="str">
        <f>+RIGHT(Tabla1[[#This Row],[N° Decreto
Expansión]],3)</f>
        <v>004</v>
      </c>
      <c r="C155" s="32" t="s">
        <v>756</v>
      </c>
      <c r="D155" s="7" t="s">
        <v>307</v>
      </c>
      <c r="E155" s="7" t="s">
        <v>479</v>
      </c>
      <c r="F155" s="7" t="s">
        <v>480</v>
      </c>
      <c r="G155" s="45" t="s">
        <v>309</v>
      </c>
      <c r="H155" s="7" t="s">
        <v>310</v>
      </c>
      <c r="I155" s="7" t="s">
        <v>391</v>
      </c>
      <c r="J155" s="7">
        <v>1</v>
      </c>
      <c r="K155" s="33" t="s">
        <v>33</v>
      </c>
      <c r="L155" s="7" t="s">
        <v>334</v>
      </c>
      <c r="M155" s="7" t="s">
        <v>334</v>
      </c>
      <c r="N155" s="7" t="s">
        <v>780</v>
      </c>
      <c r="O155" s="7" t="s">
        <v>500</v>
      </c>
      <c r="P155" s="7" t="s">
        <v>559</v>
      </c>
      <c r="Q155" s="34">
        <v>44467</v>
      </c>
      <c r="R155" s="33" t="s">
        <v>317</v>
      </c>
      <c r="S155" s="33" t="s">
        <v>317</v>
      </c>
      <c r="T155" s="36">
        <v>2.511012</v>
      </c>
      <c r="U155" s="33">
        <v>36</v>
      </c>
      <c r="V155" s="56">
        <f>-PV(Tabla1[[#This Row],[Tasa]],Tabla1[[#This Row],[Periodo]],Tabla1[[#This Row],[AVI]])</f>
        <v>3788091.0797549682</v>
      </c>
      <c r="W155" s="37">
        <f>Tabla1[[#This Row],[V.I. Adj]]/1000000</f>
        <v>3.7880910797549681</v>
      </c>
      <c r="X155" s="37">
        <v>357569</v>
      </c>
      <c r="Y155" s="37">
        <v>142742</v>
      </c>
      <c r="Z155" s="54">
        <f>+Tabla1[[#This Row],[AVI]]+Tabla1[[#This Row],[COMA]]</f>
        <v>500311</v>
      </c>
      <c r="AA155" s="54">
        <v>20</v>
      </c>
      <c r="AB155" s="57">
        <v>7.0000000000000007E-2</v>
      </c>
      <c r="AC155" s="7" t="s">
        <v>317</v>
      </c>
      <c r="AD155" s="7" t="s">
        <v>621</v>
      </c>
      <c r="AE155" s="7" t="s">
        <v>317</v>
      </c>
      <c r="AF155" s="7" t="s">
        <v>781</v>
      </c>
      <c r="AG155" s="40" t="s">
        <v>319</v>
      </c>
      <c r="AH155" s="41">
        <v>43347</v>
      </c>
      <c r="AI155" s="41">
        <v>43474</v>
      </c>
      <c r="AJ155" s="50" t="s">
        <v>317</v>
      </c>
      <c r="AK155" s="42">
        <v>44515</v>
      </c>
      <c r="AM155" s="43" t="s">
        <v>781</v>
      </c>
    </row>
    <row r="156" spans="1:39" s="7" customFormat="1" x14ac:dyDescent="0.25">
      <c r="A156" s="7" t="str">
        <f>+MID(Tabla1[[#This Row],[N° Decreto
Expansión]],1,4)</f>
        <v>2019</v>
      </c>
      <c r="B156" s="7" t="str">
        <f>+RIGHT(Tabla1[[#This Row],[N° Decreto
Expansión]],3)</f>
        <v>004</v>
      </c>
      <c r="C156" s="32" t="s">
        <v>756</v>
      </c>
      <c r="D156" s="7" t="s">
        <v>307</v>
      </c>
      <c r="E156" s="7" t="s">
        <v>479</v>
      </c>
      <c r="F156" s="7" t="s">
        <v>480</v>
      </c>
      <c r="G156" s="45" t="s">
        <v>309</v>
      </c>
      <c r="H156" s="7" t="s">
        <v>310</v>
      </c>
      <c r="I156" s="7" t="s">
        <v>391</v>
      </c>
      <c r="J156" s="7">
        <v>1</v>
      </c>
      <c r="K156" s="33" t="s">
        <v>33</v>
      </c>
      <c r="L156" s="7" t="s">
        <v>334</v>
      </c>
      <c r="M156" s="7" t="s">
        <v>334</v>
      </c>
      <c r="N156" s="7" t="s">
        <v>782</v>
      </c>
      <c r="O156" s="7" t="s">
        <v>500</v>
      </c>
      <c r="P156" s="7" t="s">
        <v>559</v>
      </c>
      <c r="Q156" s="34">
        <v>44467</v>
      </c>
      <c r="R156" s="33" t="s">
        <v>317</v>
      </c>
      <c r="S156" s="33" t="s">
        <v>317</v>
      </c>
      <c r="T156" s="36">
        <v>2.2045319999999999</v>
      </c>
      <c r="U156" s="33">
        <v>36</v>
      </c>
      <c r="V156" s="56">
        <f>-PV(Tabla1[[#This Row],[Tasa]],Tabla1[[#This Row],[Periodo]],Tabla1[[#This Row],[AVI]])</f>
        <v>6089460.5763511807</v>
      </c>
      <c r="W156" s="37">
        <f>Tabla1[[#This Row],[V.I. Adj]]/1000000</f>
        <v>6.0894605763511809</v>
      </c>
      <c r="X156" s="37">
        <v>574802</v>
      </c>
      <c r="Y156" s="37">
        <v>196021</v>
      </c>
      <c r="Z156" s="54">
        <f>+Tabla1[[#This Row],[AVI]]+Tabla1[[#This Row],[COMA]]</f>
        <v>770823</v>
      </c>
      <c r="AA156" s="54">
        <v>20</v>
      </c>
      <c r="AB156" s="57">
        <v>7.0000000000000007E-2</v>
      </c>
      <c r="AC156" s="7" t="s">
        <v>317</v>
      </c>
      <c r="AD156" s="7" t="s">
        <v>625</v>
      </c>
      <c r="AE156" s="7" t="s">
        <v>317</v>
      </c>
      <c r="AF156" s="7" t="s">
        <v>783</v>
      </c>
      <c r="AG156" s="40" t="s">
        <v>319</v>
      </c>
      <c r="AH156" s="41">
        <v>43347</v>
      </c>
      <c r="AI156" s="41">
        <v>43474</v>
      </c>
      <c r="AJ156" s="50" t="s">
        <v>317</v>
      </c>
      <c r="AK156" s="42">
        <v>44515</v>
      </c>
      <c r="AM156" s="43" t="s">
        <v>783</v>
      </c>
    </row>
    <row r="157" spans="1:39" s="7" customFormat="1" x14ac:dyDescent="0.25">
      <c r="A157" s="7" t="str">
        <f>+MID(Tabla1[[#This Row],[N° Decreto
Expansión]],1,4)</f>
        <v>2019</v>
      </c>
      <c r="B157" s="7" t="str">
        <f>+RIGHT(Tabla1[[#This Row],[N° Decreto
Expansión]],3)</f>
        <v>004</v>
      </c>
      <c r="C157" s="32" t="s">
        <v>756</v>
      </c>
      <c r="D157" s="7" t="s">
        <v>307</v>
      </c>
      <c r="E157" s="7" t="s">
        <v>479</v>
      </c>
      <c r="F157" s="7" t="s">
        <v>480</v>
      </c>
      <c r="G157" s="45" t="s">
        <v>309</v>
      </c>
      <c r="H157" s="7" t="s">
        <v>310</v>
      </c>
      <c r="I157" s="7" t="s">
        <v>594</v>
      </c>
      <c r="J157" s="7">
        <v>1</v>
      </c>
      <c r="K157" s="33" t="s">
        <v>33</v>
      </c>
      <c r="L157" s="7" t="s">
        <v>392</v>
      </c>
      <c r="M157" s="7" t="s">
        <v>392</v>
      </c>
      <c r="N157" s="7" t="s">
        <v>784</v>
      </c>
      <c r="O157" s="7" t="s">
        <v>34</v>
      </c>
      <c r="P157" s="7" t="s">
        <v>594</v>
      </c>
      <c r="Q157" s="34">
        <v>43889</v>
      </c>
      <c r="R157" s="33" t="s">
        <v>596</v>
      </c>
      <c r="S157" s="34">
        <v>44217</v>
      </c>
      <c r="T157" s="36">
        <v>19.573326999999999</v>
      </c>
      <c r="U157" s="33">
        <v>48</v>
      </c>
      <c r="V157" s="37">
        <v>15960666.417924263</v>
      </c>
      <c r="W157" s="37">
        <f>Tabla1[[#This Row],[V.I. Adj]]/1000000</f>
        <v>15.960666417924262</v>
      </c>
      <c r="X157" s="37">
        <v>1506574</v>
      </c>
      <c r="Y157" s="37">
        <v>547426</v>
      </c>
      <c r="Z157" s="54">
        <v>2054000</v>
      </c>
      <c r="AA157" s="54">
        <v>20</v>
      </c>
      <c r="AB157" s="55">
        <v>7.0000000000000007E-2</v>
      </c>
      <c r="AC157" s="7" t="s">
        <v>317</v>
      </c>
      <c r="AD157" s="7" t="s">
        <v>785</v>
      </c>
      <c r="AE157" s="7" t="s">
        <v>317</v>
      </c>
      <c r="AF157" s="7" t="s">
        <v>786</v>
      </c>
      <c r="AG157" s="40" t="s">
        <v>319</v>
      </c>
      <c r="AH157" s="41">
        <v>43347</v>
      </c>
      <c r="AI157" s="41">
        <v>43474</v>
      </c>
      <c r="AJ157" s="50" t="s">
        <v>317</v>
      </c>
      <c r="AK157" s="42">
        <v>44032</v>
      </c>
      <c r="AM157" s="43" t="s">
        <v>786</v>
      </c>
    </row>
    <row r="158" spans="1:39" s="7" customFormat="1" x14ac:dyDescent="0.25">
      <c r="A158" s="7" t="str">
        <f>+MID(Tabla1[[#This Row],[N° Decreto
Expansión]],1,4)</f>
        <v>2019</v>
      </c>
      <c r="B158" s="7" t="str">
        <f>+RIGHT(Tabla1[[#This Row],[N° Decreto
Expansión]],3)</f>
        <v>004</v>
      </c>
      <c r="C158" s="32" t="s">
        <v>756</v>
      </c>
      <c r="D158" s="7" t="s">
        <v>307</v>
      </c>
      <c r="E158" s="7" t="s">
        <v>479</v>
      </c>
      <c r="F158" s="7" t="s">
        <v>480</v>
      </c>
      <c r="G158" s="45" t="s">
        <v>309</v>
      </c>
      <c r="H158" s="7" t="s">
        <v>390</v>
      </c>
      <c r="I158" s="7" t="s">
        <v>391</v>
      </c>
      <c r="J158" s="7">
        <v>1</v>
      </c>
      <c r="K158" s="33" t="s">
        <v>33</v>
      </c>
      <c r="L158" s="7" t="s">
        <v>392</v>
      </c>
      <c r="M158" s="7" t="s">
        <v>392</v>
      </c>
      <c r="N158" s="7" t="s">
        <v>787</v>
      </c>
      <c r="O158" s="7" t="s">
        <v>361</v>
      </c>
      <c r="P158" s="7" t="s">
        <v>319</v>
      </c>
      <c r="Q158" s="33" t="s">
        <v>317</v>
      </c>
      <c r="R158" s="33" t="s">
        <v>317</v>
      </c>
      <c r="S158" s="33" t="s">
        <v>317</v>
      </c>
      <c r="T158" s="36">
        <v>3.8679479999999997</v>
      </c>
      <c r="U158" s="33">
        <v>36</v>
      </c>
      <c r="V158" s="46" t="s">
        <v>319</v>
      </c>
      <c r="W158" s="51" t="s">
        <v>319</v>
      </c>
      <c r="X158" s="48" t="s">
        <v>317</v>
      </c>
      <c r="Y158" s="48" t="s">
        <v>317</v>
      </c>
      <c r="Z158" s="48" t="s">
        <v>317</v>
      </c>
      <c r="AA158" s="48" t="s">
        <v>317</v>
      </c>
      <c r="AB158" s="48" t="s">
        <v>317</v>
      </c>
      <c r="AC158" s="7" t="s">
        <v>317</v>
      </c>
      <c r="AD158" s="7" t="s">
        <v>317</v>
      </c>
      <c r="AE158" s="7" t="s">
        <v>317</v>
      </c>
      <c r="AF158" s="7" t="s">
        <v>788</v>
      </c>
      <c r="AG158" s="40" t="s">
        <v>319</v>
      </c>
      <c r="AH158" s="41">
        <v>43347</v>
      </c>
      <c r="AI158" s="41">
        <v>43474</v>
      </c>
      <c r="AJ158" s="50" t="s">
        <v>317</v>
      </c>
      <c r="AK158" s="42">
        <v>44515</v>
      </c>
      <c r="AM158" s="43" t="s">
        <v>788</v>
      </c>
    </row>
    <row r="159" spans="1:39" s="7" customFormat="1" x14ac:dyDescent="0.25">
      <c r="A159" s="7" t="str">
        <f>+MID(Tabla1[[#This Row],[N° Decreto
Expansión]],1,4)</f>
        <v>2019</v>
      </c>
      <c r="B159" s="7" t="str">
        <f>+RIGHT(Tabla1[[#This Row],[N° Decreto
Expansión]],3)</f>
        <v>004</v>
      </c>
      <c r="C159" s="32" t="s">
        <v>756</v>
      </c>
      <c r="D159" s="7" t="s">
        <v>307</v>
      </c>
      <c r="E159" s="7" t="s">
        <v>479</v>
      </c>
      <c r="F159" s="7" t="s">
        <v>480</v>
      </c>
      <c r="G159" s="45" t="s">
        <v>309</v>
      </c>
      <c r="H159" s="7" t="s">
        <v>310</v>
      </c>
      <c r="I159" s="7" t="s">
        <v>594</v>
      </c>
      <c r="J159" s="7">
        <v>1</v>
      </c>
      <c r="K159" s="33" t="s">
        <v>312</v>
      </c>
      <c r="L159" s="7" t="s">
        <v>443</v>
      </c>
      <c r="M159" s="7" t="s">
        <v>443</v>
      </c>
      <c r="N159" s="7" t="s">
        <v>789</v>
      </c>
      <c r="O159" s="7" t="s">
        <v>482</v>
      </c>
      <c r="P159" s="7" t="s">
        <v>594</v>
      </c>
      <c r="Q159" s="34">
        <v>43889</v>
      </c>
      <c r="R159" s="33" t="s">
        <v>596</v>
      </c>
      <c r="S159" s="34">
        <v>44217</v>
      </c>
      <c r="T159" s="36">
        <v>8.7061849999999996</v>
      </c>
      <c r="U159" s="33">
        <v>36</v>
      </c>
      <c r="V159" s="37">
        <v>7786600.470454379</v>
      </c>
      <c r="W159" s="37">
        <f>Tabla1[[#This Row],[V.I. Adj]]/1000000</f>
        <v>7.7866004704543794</v>
      </c>
      <c r="X159" s="37">
        <v>735000</v>
      </c>
      <c r="Y159" s="37">
        <v>96000</v>
      </c>
      <c r="Z159" s="54">
        <v>831000</v>
      </c>
      <c r="AA159" s="54">
        <v>20</v>
      </c>
      <c r="AB159" s="55">
        <v>7.0000000000000007E-2</v>
      </c>
      <c r="AC159" s="7" t="s">
        <v>317</v>
      </c>
      <c r="AD159" s="7" t="s">
        <v>790</v>
      </c>
      <c r="AE159" s="7" t="s">
        <v>317</v>
      </c>
      <c r="AF159" s="7" t="s">
        <v>791</v>
      </c>
      <c r="AG159" s="40" t="s">
        <v>319</v>
      </c>
      <c r="AH159" s="41">
        <v>43347</v>
      </c>
      <c r="AI159" s="41">
        <v>43474</v>
      </c>
      <c r="AJ159" s="50" t="s">
        <v>317</v>
      </c>
      <c r="AK159" s="42">
        <v>44032</v>
      </c>
      <c r="AM159" s="43" t="s">
        <v>791</v>
      </c>
    </row>
    <row r="160" spans="1:39" s="7" customFormat="1" x14ac:dyDescent="0.25">
      <c r="A160" s="7" t="str">
        <f>+MID(Tabla1[[#This Row],[N° Decreto
Expansión]],1,4)</f>
        <v>2019</v>
      </c>
      <c r="B160" s="7" t="str">
        <f>+RIGHT(Tabla1[[#This Row],[N° Decreto
Expansión]],3)</f>
        <v>198</v>
      </c>
      <c r="C160" s="32" t="s">
        <v>792</v>
      </c>
      <c r="D160" s="7" t="s">
        <v>307</v>
      </c>
      <c r="E160" s="7" t="s">
        <v>17</v>
      </c>
      <c r="F160" s="7" t="s">
        <v>308</v>
      </c>
      <c r="G160" s="45" t="s">
        <v>309</v>
      </c>
      <c r="H160" s="7" t="s">
        <v>310</v>
      </c>
      <c r="I160" s="7" t="s">
        <v>793</v>
      </c>
      <c r="J160" s="7">
        <v>1</v>
      </c>
      <c r="K160" s="33" t="s">
        <v>312</v>
      </c>
      <c r="L160" s="7" t="s">
        <v>320</v>
      </c>
      <c r="M160" s="7" t="s">
        <v>320</v>
      </c>
      <c r="N160" s="7" t="s">
        <v>794</v>
      </c>
      <c r="O160" s="7" t="s">
        <v>795</v>
      </c>
      <c r="P160" s="7" t="s">
        <v>793</v>
      </c>
      <c r="Q160" s="34">
        <v>44022</v>
      </c>
      <c r="R160" s="58" t="s">
        <v>796</v>
      </c>
      <c r="S160" s="59">
        <v>44287</v>
      </c>
      <c r="T160" s="36">
        <v>3.5825710000000002</v>
      </c>
      <c r="U160" s="60">
        <v>24</v>
      </c>
      <c r="V160" s="37">
        <v>3538558.3506686506</v>
      </c>
      <c r="W160" s="37">
        <f>Tabla1[[#This Row],[V.I. Adj]]/1000000</f>
        <v>3.5385583506686507</v>
      </c>
      <c r="X160" s="48" t="s">
        <v>317</v>
      </c>
      <c r="Y160" s="48" t="s">
        <v>317</v>
      </c>
      <c r="Z160" s="48" t="s">
        <v>317</v>
      </c>
      <c r="AA160" s="48" t="s">
        <v>317</v>
      </c>
      <c r="AB160" s="48" t="s">
        <v>317</v>
      </c>
      <c r="AC160" s="7" t="s">
        <v>26</v>
      </c>
      <c r="AD160" s="7" t="s">
        <v>797</v>
      </c>
      <c r="AE160" s="7" t="s">
        <v>317</v>
      </c>
      <c r="AF160" s="7" t="s">
        <v>798</v>
      </c>
      <c r="AG160" s="40" t="s">
        <v>319</v>
      </c>
      <c r="AH160" s="41">
        <v>43614</v>
      </c>
      <c r="AI160" s="41">
        <v>43687</v>
      </c>
      <c r="AJ160" s="50" t="s">
        <v>317</v>
      </c>
      <c r="AK160" s="53" t="s">
        <v>317</v>
      </c>
      <c r="AM160" s="43" t="s">
        <v>798</v>
      </c>
    </row>
    <row r="161" spans="1:39" s="7" customFormat="1" x14ac:dyDescent="0.25">
      <c r="A161" s="7" t="str">
        <f>+MID(Tabla1[[#This Row],[N° Decreto
Expansión]],1,4)</f>
        <v>2019</v>
      </c>
      <c r="B161" s="7" t="str">
        <f>+RIGHT(Tabla1[[#This Row],[N° Decreto
Expansión]],3)</f>
        <v>198</v>
      </c>
      <c r="C161" s="32" t="s">
        <v>792</v>
      </c>
      <c r="D161" s="7" t="s">
        <v>307</v>
      </c>
      <c r="E161" s="7" t="s">
        <v>17</v>
      </c>
      <c r="F161" s="7" t="s">
        <v>308</v>
      </c>
      <c r="G161" s="45" t="s">
        <v>309</v>
      </c>
      <c r="H161" s="7" t="s">
        <v>310</v>
      </c>
      <c r="I161" s="7" t="s">
        <v>793</v>
      </c>
      <c r="J161" s="7">
        <v>1</v>
      </c>
      <c r="K161" s="33" t="s">
        <v>584</v>
      </c>
      <c r="L161" s="7" t="s">
        <v>320</v>
      </c>
      <c r="M161" s="7" t="s">
        <v>320</v>
      </c>
      <c r="N161" s="7" t="s">
        <v>799</v>
      </c>
      <c r="O161" s="7" t="s">
        <v>795</v>
      </c>
      <c r="P161" s="7" t="s">
        <v>793</v>
      </c>
      <c r="Q161" s="34">
        <v>44022</v>
      </c>
      <c r="R161" s="33" t="s">
        <v>317</v>
      </c>
      <c r="S161" s="61">
        <v>44357</v>
      </c>
      <c r="T161" s="36">
        <v>3.1943739999999998</v>
      </c>
      <c r="U161" s="60">
        <v>24</v>
      </c>
      <c r="V161" s="37">
        <v>3155130.433663093</v>
      </c>
      <c r="W161" s="37">
        <f>Tabla1[[#This Row],[V.I. Adj]]/1000000</f>
        <v>3.1551304336630932</v>
      </c>
      <c r="X161" s="48" t="s">
        <v>317</v>
      </c>
      <c r="Y161" s="48" t="s">
        <v>317</v>
      </c>
      <c r="Z161" s="48" t="s">
        <v>317</v>
      </c>
      <c r="AA161" s="48" t="s">
        <v>317</v>
      </c>
      <c r="AB161" s="48" t="s">
        <v>317</v>
      </c>
      <c r="AC161" s="7" t="s">
        <v>26</v>
      </c>
      <c r="AD161" s="7" t="s">
        <v>797</v>
      </c>
      <c r="AE161" s="7" t="s">
        <v>317</v>
      </c>
      <c r="AF161" s="7" t="s">
        <v>800</v>
      </c>
      <c r="AG161" s="40" t="s">
        <v>319</v>
      </c>
      <c r="AH161" s="41">
        <v>43614</v>
      </c>
      <c r="AI161" s="41">
        <v>43687</v>
      </c>
      <c r="AJ161" s="50" t="s">
        <v>317</v>
      </c>
      <c r="AK161" s="53" t="s">
        <v>317</v>
      </c>
      <c r="AM161" s="43" t="s">
        <v>800</v>
      </c>
    </row>
    <row r="162" spans="1:39" s="7" customFormat="1" x14ac:dyDescent="0.25">
      <c r="A162" s="7" t="str">
        <f>+MID(Tabla1[[#This Row],[N° Decreto
Expansión]],1,4)</f>
        <v>2019</v>
      </c>
      <c r="B162" s="7" t="str">
        <f>+RIGHT(Tabla1[[#This Row],[N° Decreto
Expansión]],3)</f>
        <v>198</v>
      </c>
      <c r="C162" s="32" t="s">
        <v>792</v>
      </c>
      <c r="D162" s="7" t="s">
        <v>307</v>
      </c>
      <c r="E162" s="7" t="s">
        <v>17</v>
      </c>
      <c r="F162" s="7" t="s">
        <v>308</v>
      </c>
      <c r="G162" s="45" t="s">
        <v>309</v>
      </c>
      <c r="H162" s="7" t="s">
        <v>310</v>
      </c>
      <c r="I162" s="7" t="s">
        <v>793</v>
      </c>
      <c r="J162" s="7">
        <v>1</v>
      </c>
      <c r="K162" s="33" t="s">
        <v>33</v>
      </c>
      <c r="L162" s="52" t="s">
        <v>320</v>
      </c>
      <c r="M162" s="7" t="s">
        <v>801</v>
      </c>
      <c r="N162" s="7" t="s">
        <v>802</v>
      </c>
      <c r="O162" s="7" t="s">
        <v>795</v>
      </c>
      <c r="P162" s="7" t="s">
        <v>793</v>
      </c>
      <c r="Q162" s="34">
        <v>44022</v>
      </c>
      <c r="R162" s="33" t="s">
        <v>317</v>
      </c>
      <c r="S162" s="61">
        <v>44357</v>
      </c>
      <c r="T162" s="36">
        <v>3.0207890000000002</v>
      </c>
      <c r="U162" s="60">
        <v>24</v>
      </c>
      <c r="V162" s="37">
        <v>2983677.9624347999</v>
      </c>
      <c r="W162" s="37">
        <f>Tabla1[[#This Row],[V.I. Adj]]/1000000</f>
        <v>2.9836779624348</v>
      </c>
      <c r="X162" s="48" t="s">
        <v>317</v>
      </c>
      <c r="Y162" s="48" t="s">
        <v>317</v>
      </c>
      <c r="Z162" s="48" t="s">
        <v>317</v>
      </c>
      <c r="AA162" s="48" t="s">
        <v>317</v>
      </c>
      <c r="AB162" s="48" t="s">
        <v>317</v>
      </c>
      <c r="AC162" s="7" t="s">
        <v>26</v>
      </c>
      <c r="AD162" s="7" t="s">
        <v>797</v>
      </c>
      <c r="AE162" s="7" t="s">
        <v>317</v>
      </c>
      <c r="AF162" s="7" t="s">
        <v>803</v>
      </c>
      <c r="AG162" s="40" t="s">
        <v>319</v>
      </c>
      <c r="AH162" s="41">
        <v>43614</v>
      </c>
      <c r="AI162" s="41">
        <v>43687</v>
      </c>
      <c r="AJ162" s="50" t="s">
        <v>317</v>
      </c>
      <c r="AK162" s="53" t="s">
        <v>317</v>
      </c>
      <c r="AM162" s="43" t="s">
        <v>803</v>
      </c>
    </row>
    <row r="163" spans="1:39" s="7" customFormat="1" x14ac:dyDescent="0.25">
      <c r="A163" s="7" t="str">
        <f>+MID(Tabla1[[#This Row],[N° Decreto
Expansión]],1,4)</f>
        <v>2019</v>
      </c>
      <c r="B163" s="7" t="str">
        <f>+RIGHT(Tabla1[[#This Row],[N° Decreto
Expansión]],3)</f>
        <v>198</v>
      </c>
      <c r="C163" s="32" t="s">
        <v>792</v>
      </c>
      <c r="D163" s="7" t="s">
        <v>307</v>
      </c>
      <c r="E163" s="7" t="s">
        <v>17</v>
      </c>
      <c r="F163" s="7" t="s">
        <v>308</v>
      </c>
      <c r="G163" s="45" t="s">
        <v>309</v>
      </c>
      <c r="H163" s="7" t="s">
        <v>310</v>
      </c>
      <c r="I163" s="7" t="s">
        <v>793</v>
      </c>
      <c r="J163" s="7">
        <v>1</v>
      </c>
      <c r="K163" s="33" t="s">
        <v>312</v>
      </c>
      <c r="L163" s="7" t="s">
        <v>313</v>
      </c>
      <c r="M163" s="7" t="s">
        <v>313</v>
      </c>
      <c r="N163" s="7" t="s">
        <v>804</v>
      </c>
      <c r="O163" s="7" t="s">
        <v>795</v>
      </c>
      <c r="P163" s="7" t="s">
        <v>793</v>
      </c>
      <c r="Q163" s="34">
        <v>44022</v>
      </c>
      <c r="R163" s="33" t="s">
        <v>317</v>
      </c>
      <c r="S163" s="61">
        <v>44357</v>
      </c>
      <c r="T163" s="36">
        <v>1.819321</v>
      </c>
      <c r="U163" s="60">
        <v>24</v>
      </c>
      <c r="V163" s="37">
        <v>1796970.2532334574</v>
      </c>
      <c r="W163" s="37">
        <f>Tabla1[[#This Row],[V.I. Adj]]/1000000</f>
        <v>1.7969702532334575</v>
      </c>
      <c r="X163" s="48" t="s">
        <v>317</v>
      </c>
      <c r="Y163" s="48" t="s">
        <v>317</v>
      </c>
      <c r="Z163" s="48" t="s">
        <v>317</v>
      </c>
      <c r="AA163" s="48" t="s">
        <v>317</v>
      </c>
      <c r="AB163" s="48" t="s">
        <v>317</v>
      </c>
      <c r="AC163" s="7" t="s">
        <v>805</v>
      </c>
      <c r="AD163" s="7" t="s">
        <v>797</v>
      </c>
      <c r="AE163" s="7" t="s">
        <v>317</v>
      </c>
      <c r="AF163" s="7" t="s">
        <v>806</v>
      </c>
      <c r="AG163" s="40" t="s">
        <v>319</v>
      </c>
      <c r="AH163" s="41">
        <v>43614</v>
      </c>
      <c r="AI163" s="41">
        <v>43687</v>
      </c>
      <c r="AJ163" s="50" t="s">
        <v>317</v>
      </c>
      <c r="AK163" s="53" t="s">
        <v>317</v>
      </c>
      <c r="AM163" s="43" t="s">
        <v>806</v>
      </c>
    </row>
    <row r="164" spans="1:39" s="7" customFormat="1" x14ac:dyDescent="0.25">
      <c r="A164" s="7" t="str">
        <f>+MID(Tabla1[[#This Row],[N° Decreto
Expansión]],1,4)</f>
        <v>2019</v>
      </c>
      <c r="B164" s="7" t="str">
        <f>+RIGHT(Tabla1[[#This Row],[N° Decreto
Expansión]],3)</f>
        <v>198</v>
      </c>
      <c r="C164" s="32" t="s">
        <v>792</v>
      </c>
      <c r="D164" s="7" t="s">
        <v>562</v>
      </c>
      <c r="E164" s="7" t="s">
        <v>17</v>
      </c>
      <c r="F164" s="7" t="s">
        <v>308</v>
      </c>
      <c r="G164" s="45" t="s">
        <v>309</v>
      </c>
      <c r="H164" s="7" t="s">
        <v>310</v>
      </c>
      <c r="I164" s="7" t="s">
        <v>793</v>
      </c>
      <c r="J164" s="7">
        <v>1</v>
      </c>
      <c r="K164" s="33" t="s">
        <v>584</v>
      </c>
      <c r="L164" s="7" t="s">
        <v>324</v>
      </c>
      <c r="M164" s="7" t="s">
        <v>324</v>
      </c>
      <c r="N164" s="7" t="s">
        <v>807</v>
      </c>
      <c r="O164" s="7" t="s">
        <v>795</v>
      </c>
      <c r="P164" s="7" t="s">
        <v>793</v>
      </c>
      <c r="Q164" s="34">
        <v>44022</v>
      </c>
      <c r="R164" s="33" t="s">
        <v>317</v>
      </c>
      <c r="S164" s="61">
        <v>44357</v>
      </c>
      <c r="T164" s="36">
        <v>8.0615159999999992</v>
      </c>
      <c r="U164" s="60">
        <v>36</v>
      </c>
      <c r="V164" s="37">
        <v>9632497.0399999991</v>
      </c>
      <c r="W164" s="37">
        <f>Tabla1[[#This Row],[V.I. Adj]]/1000000</f>
        <v>9.6324970399999987</v>
      </c>
      <c r="X164" s="48" t="s">
        <v>317</v>
      </c>
      <c r="Y164" s="48" t="s">
        <v>317</v>
      </c>
      <c r="Z164" s="48" t="s">
        <v>317</v>
      </c>
      <c r="AA164" s="48" t="s">
        <v>317</v>
      </c>
      <c r="AB164" s="48" t="s">
        <v>317</v>
      </c>
      <c r="AC164" s="7" t="s">
        <v>808</v>
      </c>
      <c r="AD164" s="7" t="s">
        <v>809</v>
      </c>
      <c r="AE164" s="7" t="s">
        <v>317</v>
      </c>
      <c r="AF164" s="7" t="s">
        <v>810</v>
      </c>
      <c r="AG164" s="40" t="s">
        <v>319</v>
      </c>
      <c r="AH164" s="41">
        <v>43614</v>
      </c>
      <c r="AI164" s="41">
        <v>43687</v>
      </c>
      <c r="AJ164" s="50" t="s">
        <v>317</v>
      </c>
      <c r="AK164" s="53" t="s">
        <v>317</v>
      </c>
      <c r="AM164" s="43" t="s">
        <v>810</v>
      </c>
    </row>
    <row r="165" spans="1:39" s="7" customFormat="1" x14ac:dyDescent="0.25">
      <c r="A165" s="7" t="str">
        <f>+MID(Tabla1[[#This Row],[N° Decreto
Expansión]],1,4)</f>
        <v>2019</v>
      </c>
      <c r="B165" s="7" t="str">
        <f>+RIGHT(Tabla1[[#This Row],[N° Decreto
Expansión]],3)</f>
        <v>198</v>
      </c>
      <c r="C165" s="32" t="s">
        <v>792</v>
      </c>
      <c r="D165" s="7" t="s">
        <v>562</v>
      </c>
      <c r="E165" s="7" t="s">
        <v>17</v>
      </c>
      <c r="F165" s="7" t="s">
        <v>308</v>
      </c>
      <c r="G165" s="45" t="s">
        <v>309</v>
      </c>
      <c r="H165" s="7" t="s">
        <v>310</v>
      </c>
      <c r="I165" s="7" t="s">
        <v>793</v>
      </c>
      <c r="J165" s="7">
        <v>1</v>
      </c>
      <c r="K165" s="33" t="s">
        <v>312</v>
      </c>
      <c r="L165" s="7" t="s">
        <v>324</v>
      </c>
      <c r="M165" s="7" t="s">
        <v>324</v>
      </c>
      <c r="N165" s="7" t="s">
        <v>811</v>
      </c>
      <c r="O165" s="7" t="s">
        <v>795</v>
      </c>
      <c r="P165" s="7" t="s">
        <v>793</v>
      </c>
      <c r="Q165" s="34">
        <v>44022</v>
      </c>
      <c r="R165" s="33" t="s">
        <v>317</v>
      </c>
      <c r="S165" s="61">
        <v>44357</v>
      </c>
      <c r="T165" s="36">
        <v>5.9153729999999998</v>
      </c>
      <c r="U165" s="60">
        <v>24</v>
      </c>
      <c r="V165" s="37">
        <v>7068126.2599999998</v>
      </c>
      <c r="W165" s="37">
        <f>Tabla1[[#This Row],[V.I. Adj]]/1000000</f>
        <v>7.0681262599999997</v>
      </c>
      <c r="X165" s="48" t="s">
        <v>317</v>
      </c>
      <c r="Y165" s="48" t="s">
        <v>317</v>
      </c>
      <c r="Z165" s="48" t="s">
        <v>317</v>
      </c>
      <c r="AA165" s="48" t="s">
        <v>317</v>
      </c>
      <c r="AB165" s="48" t="s">
        <v>317</v>
      </c>
      <c r="AC165" s="7" t="s">
        <v>812</v>
      </c>
      <c r="AD165" s="7" t="s">
        <v>809</v>
      </c>
      <c r="AE165" s="7" t="s">
        <v>813</v>
      </c>
      <c r="AF165" s="7" t="s">
        <v>814</v>
      </c>
      <c r="AG165" s="40" t="s">
        <v>319</v>
      </c>
      <c r="AH165" s="41">
        <v>43614</v>
      </c>
      <c r="AI165" s="41">
        <v>43687</v>
      </c>
      <c r="AJ165" s="50" t="s">
        <v>317</v>
      </c>
      <c r="AK165" s="53" t="s">
        <v>317</v>
      </c>
      <c r="AM165" s="43" t="s">
        <v>814</v>
      </c>
    </row>
    <row r="166" spans="1:39" s="7" customFormat="1" x14ac:dyDescent="0.25">
      <c r="A166" s="7" t="str">
        <f>+MID(Tabla1[[#This Row],[N° Decreto
Expansión]],1,4)</f>
        <v>2019</v>
      </c>
      <c r="B166" s="7" t="str">
        <f>+RIGHT(Tabla1[[#This Row],[N° Decreto
Expansión]],3)</f>
        <v>198</v>
      </c>
      <c r="C166" s="32" t="s">
        <v>792</v>
      </c>
      <c r="D166" s="7" t="s">
        <v>307</v>
      </c>
      <c r="E166" s="7" t="s">
        <v>17</v>
      </c>
      <c r="F166" s="7" t="s">
        <v>308</v>
      </c>
      <c r="G166" s="45" t="s">
        <v>309</v>
      </c>
      <c r="H166" s="7" t="s">
        <v>310</v>
      </c>
      <c r="I166" s="7" t="s">
        <v>793</v>
      </c>
      <c r="J166" s="7">
        <v>1</v>
      </c>
      <c r="K166" s="33" t="s">
        <v>312</v>
      </c>
      <c r="L166" s="7" t="s">
        <v>324</v>
      </c>
      <c r="M166" s="7" t="s">
        <v>324</v>
      </c>
      <c r="N166" s="7" t="s">
        <v>815</v>
      </c>
      <c r="O166" s="7" t="s">
        <v>795</v>
      </c>
      <c r="P166" s="7" t="s">
        <v>793</v>
      </c>
      <c r="Q166" s="34">
        <v>44022</v>
      </c>
      <c r="R166" s="33" t="s">
        <v>317</v>
      </c>
      <c r="S166" s="61">
        <v>44357</v>
      </c>
      <c r="T166" s="36">
        <v>7.3642950000000003</v>
      </c>
      <c r="U166" s="60">
        <v>24</v>
      </c>
      <c r="V166" s="37">
        <v>8799405.6899999995</v>
      </c>
      <c r="W166" s="37">
        <f>Tabla1[[#This Row],[V.I. Adj]]/1000000</f>
        <v>8.7994056899999986</v>
      </c>
      <c r="X166" s="48" t="s">
        <v>317</v>
      </c>
      <c r="Y166" s="48" t="s">
        <v>317</v>
      </c>
      <c r="Z166" s="48" t="s">
        <v>317</v>
      </c>
      <c r="AA166" s="48" t="s">
        <v>317</v>
      </c>
      <c r="AB166" s="48" t="s">
        <v>317</v>
      </c>
      <c r="AC166" s="7" t="s">
        <v>812</v>
      </c>
      <c r="AD166" s="7" t="s">
        <v>809</v>
      </c>
      <c r="AE166" s="7" t="s">
        <v>813</v>
      </c>
      <c r="AF166" s="7" t="s">
        <v>816</v>
      </c>
      <c r="AG166" s="40" t="s">
        <v>319</v>
      </c>
      <c r="AH166" s="41">
        <v>43614</v>
      </c>
      <c r="AI166" s="41">
        <v>43687</v>
      </c>
      <c r="AJ166" s="50" t="s">
        <v>317</v>
      </c>
      <c r="AK166" s="53" t="s">
        <v>317</v>
      </c>
      <c r="AM166" s="43" t="s">
        <v>816</v>
      </c>
    </row>
    <row r="167" spans="1:39" s="7" customFormat="1" x14ac:dyDescent="0.25">
      <c r="A167" s="7" t="str">
        <f>+MID(Tabla1[[#This Row],[N° Decreto
Expansión]],1,4)</f>
        <v>2019</v>
      </c>
      <c r="B167" s="7" t="str">
        <f>+RIGHT(Tabla1[[#This Row],[N° Decreto
Expansión]],3)</f>
        <v>198</v>
      </c>
      <c r="C167" s="32" t="s">
        <v>792</v>
      </c>
      <c r="D167" s="7" t="s">
        <v>307</v>
      </c>
      <c r="E167" s="7" t="s">
        <v>17</v>
      </c>
      <c r="F167" s="7" t="s">
        <v>308</v>
      </c>
      <c r="G167" s="45" t="s">
        <v>309</v>
      </c>
      <c r="H167" s="7" t="s">
        <v>310</v>
      </c>
      <c r="I167" s="7" t="s">
        <v>793</v>
      </c>
      <c r="J167" s="7">
        <v>1</v>
      </c>
      <c r="K167" s="33" t="s">
        <v>312</v>
      </c>
      <c r="L167" s="7" t="s">
        <v>324</v>
      </c>
      <c r="M167" s="7" t="s">
        <v>324</v>
      </c>
      <c r="N167" s="7" t="s">
        <v>817</v>
      </c>
      <c r="O167" s="7" t="s">
        <v>795</v>
      </c>
      <c r="P167" s="7" t="s">
        <v>793</v>
      </c>
      <c r="Q167" s="34">
        <v>44022</v>
      </c>
      <c r="R167" s="33" t="s">
        <v>317</v>
      </c>
      <c r="S167" s="61">
        <v>44357</v>
      </c>
      <c r="T167" s="36">
        <v>1.755374</v>
      </c>
      <c r="U167" s="60">
        <v>24</v>
      </c>
      <c r="V167" s="37">
        <v>2097451.0099999998</v>
      </c>
      <c r="W167" s="37">
        <f>Tabla1[[#This Row],[V.I. Adj]]/1000000</f>
        <v>2.0974510099999999</v>
      </c>
      <c r="X167" s="48" t="s">
        <v>317</v>
      </c>
      <c r="Y167" s="48" t="s">
        <v>317</v>
      </c>
      <c r="Z167" s="48" t="s">
        <v>317</v>
      </c>
      <c r="AA167" s="48" t="s">
        <v>317</v>
      </c>
      <c r="AB167" s="48" t="s">
        <v>317</v>
      </c>
      <c r="AC167" s="7" t="s">
        <v>27</v>
      </c>
      <c r="AD167" s="7" t="s">
        <v>809</v>
      </c>
      <c r="AE167" s="7" t="s">
        <v>317</v>
      </c>
      <c r="AF167" s="7" t="s">
        <v>818</v>
      </c>
      <c r="AG167" s="40" t="s">
        <v>319</v>
      </c>
      <c r="AH167" s="41">
        <v>43614</v>
      </c>
      <c r="AI167" s="41">
        <v>43687</v>
      </c>
      <c r="AJ167" s="50" t="s">
        <v>317</v>
      </c>
      <c r="AK167" s="53" t="s">
        <v>317</v>
      </c>
      <c r="AM167" s="43" t="s">
        <v>818</v>
      </c>
    </row>
    <row r="168" spans="1:39" s="7" customFormat="1" x14ac:dyDescent="0.25">
      <c r="A168" s="7" t="str">
        <f>+MID(Tabla1[[#This Row],[N° Decreto
Expansión]],1,4)</f>
        <v>2019</v>
      </c>
      <c r="B168" s="7" t="str">
        <f>+RIGHT(Tabla1[[#This Row],[N° Decreto
Expansión]],3)</f>
        <v>198</v>
      </c>
      <c r="C168" s="32" t="s">
        <v>792</v>
      </c>
      <c r="D168" s="7" t="s">
        <v>562</v>
      </c>
      <c r="E168" s="7" t="s">
        <v>17</v>
      </c>
      <c r="F168" s="7" t="s">
        <v>308</v>
      </c>
      <c r="G168" s="45" t="s">
        <v>309</v>
      </c>
      <c r="H168" s="7" t="s">
        <v>310</v>
      </c>
      <c r="I168" s="7" t="s">
        <v>793</v>
      </c>
      <c r="J168" s="7">
        <v>1</v>
      </c>
      <c r="K168" s="33" t="s">
        <v>33</v>
      </c>
      <c r="L168" s="7" t="s">
        <v>334</v>
      </c>
      <c r="M168" s="7" t="s">
        <v>334</v>
      </c>
      <c r="N168" s="7" t="s">
        <v>819</v>
      </c>
      <c r="O168" s="7" t="s">
        <v>820</v>
      </c>
      <c r="P168" s="7" t="s">
        <v>793</v>
      </c>
      <c r="Q168" s="34">
        <v>44022</v>
      </c>
      <c r="R168" s="33" t="s">
        <v>317</v>
      </c>
      <c r="S168" s="61">
        <v>44357</v>
      </c>
      <c r="T168" s="36">
        <v>3.0061330000000002</v>
      </c>
      <c r="U168" s="60">
        <v>24</v>
      </c>
      <c r="V168" s="37">
        <v>4515020.6313213855</v>
      </c>
      <c r="W168" s="37">
        <f>Tabla1[[#This Row],[V.I. Adj]]/1000000</f>
        <v>4.5150206313213852</v>
      </c>
      <c r="X168" s="48" t="s">
        <v>317</v>
      </c>
      <c r="Y168" s="48" t="s">
        <v>317</v>
      </c>
      <c r="Z168" s="48" t="s">
        <v>317</v>
      </c>
      <c r="AA168" s="48" t="s">
        <v>317</v>
      </c>
      <c r="AB168" s="48" t="s">
        <v>317</v>
      </c>
      <c r="AC168" s="7" t="s">
        <v>821</v>
      </c>
      <c r="AD168" s="7" t="s">
        <v>822</v>
      </c>
      <c r="AE168" s="7" t="s">
        <v>317</v>
      </c>
      <c r="AF168" s="7" t="s">
        <v>823</v>
      </c>
      <c r="AG168" s="40" t="s">
        <v>319</v>
      </c>
      <c r="AH168" s="41">
        <v>43614</v>
      </c>
      <c r="AI168" s="41">
        <v>43687</v>
      </c>
      <c r="AJ168" s="50" t="s">
        <v>317</v>
      </c>
      <c r="AK168" s="53" t="s">
        <v>317</v>
      </c>
      <c r="AM168" s="43" t="s">
        <v>823</v>
      </c>
    </row>
    <row r="169" spans="1:39" s="7" customFormat="1" x14ac:dyDescent="0.25">
      <c r="A169" s="7" t="str">
        <f>+MID(Tabla1[[#This Row],[N° Decreto
Expansión]],1,4)</f>
        <v>2019</v>
      </c>
      <c r="B169" s="7" t="str">
        <f>+RIGHT(Tabla1[[#This Row],[N° Decreto
Expansión]],3)</f>
        <v>198</v>
      </c>
      <c r="C169" s="32" t="s">
        <v>792</v>
      </c>
      <c r="D169" s="7" t="s">
        <v>562</v>
      </c>
      <c r="E169" s="7" t="s">
        <v>17</v>
      </c>
      <c r="F169" s="7" t="s">
        <v>308</v>
      </c>
      <c r="G169" s="45" t="s">
        <v>309</v>
      </c>
      <c r="H169" s="7" t="s">
        <v>310</v>
      </c>
      <c r="I169" s="7" t="s">
        <v>793</v>
      </c>
      <c r="J169" s="7">
        <v>1</v>
      </c>
      <c r="K169" s="33" t="s">
        <v>312</v>
      </c>
      <c r="L169" s="7" t="s">
        <v>338</v>
      </c>
      <c r="M169" s="7" t="s">
        <v>338</v>
      </c>
      <c r="N169" s="7" t="s">
        <v>824</v>
      </c>
      <c r="O169" s="7" t="s">
        <v>820</v>
      </c>
      <c r="P169" s="7" t="s">
        <v>793</v>
      </c>
      <c r="Q169" s="34">
        <v>44022</v>
      </c>
      <c r="R169" s="33" t="s">
        <v>317</v>
      </c>
      <c r="S169" s="61">
        <v>44357</v>
      </c>
      <c r="T169" s="36">
        <v>2.3345750000000001</v>
      </c>
      <c r="U169" s="60">
        <v>24</v>
      </c>
      <c r="V169" s="37">
        <v>3506383.2140384754</v>
      </c>
      <c r="W169" s="37">
        <f>Tabla1[[#This Row],[V.I. Adj]]/1000000</f>
        <v>3.5063832140384754</v>
      </c>
      <c r="X169" s="48" t="s">
        <v>317</v>
      </c>
      <c r="Y169" s="48" t="s">
        <v>317</v>
      </c>
      <c r="Z169" s="48" t="s">
        <v>317</v>
      </c>
      <c r="AA169" s="48" t="s">
        <v>317</v>
      </c>
      <c r="AB169" s="48" t="s">
        <v>317</v>
      </c>
      <c r="AC169" s="7" t="s">
        <v>821</v>
      </c>
      <c r="AD169" s="7" t="s">
        <v>822</v>
      </c>
      <c r="AE169" s="7" t="s">
        <v>317</v>
      </c>
      <c r="AF169" s="7" t="s">
        <v>825</v>
      </c>
      <c r="AG169" s="40" t="s">
        <v>319</v>
      </c>
      <c r="AH169" s="41">
        <v>43614</v>
      </c>
      <c r="AI169" s="41">
        <v>43687</v>
      </c>
      <c r="AJ169" s="50" t="s">
        <v>317</v>
      </c>
      <c r="AK169" s="53" t="s">
        <v>317</v>
      </c>
      <c r="AM169" s="43" t="s">
        <v>825</v>
      </c>
    </row>
    <row r="170" spans="1:39" s="7" customFormat="1" x14ac:dyDescent="0.25">
      <c r="A170" s="7" t="str">
        <f>+MID(Tabla1[[#This Row],[N° Decreto
Expansión]],1,4)</f>
        <v>2019</v>
      </c>
      <c r="B170" s="7" t="str">
        <f>+RIGHT(Tabla1[[#This Row],[N° Decreto
Expansión]],3)</f>
        <v>198</v>
      </c>
      <c r="C170" s="32" t="s">
        <v>792</v>
      </c>
      <c r="D170" s="7" t="s">
        <v>562</v>
      </c>
      <c r="E170" s="7" t="s">
        <v>17</v>
      </c>
      <c r="F170" s="7" t="s">
        <v>308</v>
      </c>
      <c r="G170" s="45" t="s">
        <v>309</v>
      </c>
      <c r="H170" s="7" t="s">
        <v>310</v>
      </c>
      <c r="I170" s="7" t="s">
        <v>793</v>
      </c>
      <c r="J170" s="7">
        <v>1</v>
      </c>
      <c r="K170" s="33" t="s">
        <v>312</v>
      </c>
      <c r="L170" s="7" t="s">
        <v>392</v>
      </c>
      <c r="M170" s="7" t="s">
        <v>392</v>
      </c>
      <c r="N170" s="7" t="s">
        <v>826</v>
      </c>
      <c r="O170" s="7" t="s">
        <v>820</v>
      </c>
      <c r="P170" s="7" t="s">
        <v>793</v>
      </c>
      <c r="Q170" s="34">
        <v>44022</v>
      </c>
      <c r="R170" s="33" t="s">
        <v>317</v>
      </c>
      <c r="S170" s="61">
        <v>44357</v>
      </c>
      <c r="T170" s="36">
        <v>1.3763320000000001</v>
      </c>
      <c r="U170" s="60">
        <v>24</v>
      </c>
      <c r="V170" s="37">
        <v>2067163.1546401391</v>
      </c>
      <c r="W170" s="37">
        <f>Tabla1[[#This Row],[V.I. Adj]]/1000000</f>
        <v>2.0671631546401392</v>
      </c>
      <c r="X170" s="48" t="s">
        <v>317</v>
      </c>
      <c r="Y170" s="48" t="s">
        <v>317</v>
      </c>
      <c r="Z170" s="48" t="s">
        <v>317</v>
      </c>
      <c r="AA170" s="48" t="s">
        <v>317</v>
      </c>
      <c r="AB170" s="48" t="s">
        <v>317</v>
      </c>
      <c r="AC170" s="7" t="s">
        <v>827</v>
      </c>
      <c r="AD170" s="7" t="s">
        <v>822</v>
      </c>
      <c r="AE170" s="7" t="s">
        <v>317</v>
      </c>
      <c r="AF170" s="7" t="s">
        <v>828</v>
      </c>
      <c r="AG170" s="40" t="s">
        <v>319</v>
      </c>
      <c r="AH170" s="41">
        <v>43614</v>
      </c>
      <c r="AI170" s="41">
        <v>43687</v>
      </c>
      <c r="AJ170" s="50" t="s">
        <v>317</v>
      </c>
      <c r="AK170" s="53" t="s">
        <v>317</v>
      </c>
      <c r="AM170" s="43" t="s">
        <v>828</v>
      </c>
    </row>
    <row r="171" spans="1:39" s="7" customFormat="1" x14ac:dyDescent="0.25">
      <c r="A171" s="7" t="str">
        <f>+MID(Tabla1[[#This Row],[N° Decreto
Expansión]],1,4)</f>
        <v>2019</v>
      </c>
      <c r="B171" s="7" t="str">
        <f>+RIGHT(Tabla1[[#This Row],[N° Decreto
Expansión]],3)</f>
        <v>198</v>
      </c>
      <c r="C171" s="32" t="s">
        <v>792</v>
      </c>
      <c r="D171" s="7" t="s">
        <v>307</v>
      </c>
      <c r="E171" s="7" t="s">
        <v>17</v>
      </c>
      <c r="F171" s="7" t="s">
        <v>308</v>
      </c>
      <c r="G171" s="45" t="s">
        <v>309</v>
      </c>
      <c r="H171" s="7" t="s">
        <v>310</v>
      </c>
      <c r="I171" s="7" t="s">
        <v>359</v>
      </c>
      <c r="J171" s="7">
        <v>1</v>
      </c>
      <c r="K171" s="33" t="s">
        <v>312</v>
      </c>
      <c r="L171" s="7" t="s">
        <v>338</v>
      </c>
      <c r="M171" s="7" t="s">
        <v>338</v>
      </c>
      <c r="N171" s="7" t="s">
        <v>829</v>
      </c>
      <c r="O171" s="7" t="s">
        <v>636</v>
      </c>
      <c r="P171" s="7" t="s">
        <v>637</v>
      </c>
      <c r="Q171" s="34">
        <v>44421</v>
      </c>
      <c r="R171" s="33" t="s">
        <v>317</v>
      </c>
      <c r="S171" s="33" t="s">
        <v>317</v>
      </c>
      <c r="T171" s="36">
        <v>0.49851499999999999</v>
      </c>
      <c r="U171" s="60">
        <v>24</v>
      </c>
      <c r="V171" s="37">
        <v>919473.8320930138</v>
      </c>
      <c r="W171" s="37">
        <f>Tabla1[[#This Row],[V.I. Adj]]/1000000</f>
        <v>0.91947383209301381</v>
      </c>
      <c r="X171" s="48" t="s">
        <v>317</v>
      </c>
      <c r="Y171" s="48" t="s">
        <v>317</v>
      </c>
      <c r="Z171" s="48" t="s">
        <v>317</v>
      </c>
      <c r="AA171" s="48" t="s">
        <v>317</v>
      </c>
      <c r="AB171" s="48" t="s">
        <v>317</v>
      </c>
      <c r="AC171" s="7" t="s">
        <v>27</v>
      </c>
      <c r="AD171" s="7" t="s">
        <v>830</v>
      </c>
      <c r="AE171" s="7" t="s">
        <v>317</v>
      </c>
      <c r="AF171" s="7" t="s">
        <v>831</v>
      </c>
      <c r="AG171" s="40" t="s">
        <v>319</v>
      </c>
      <c r="AH171" s="41">
        <v>43614</v>
      </c>
      <c r="AI171" s="41">
        <v>43687</v>
      </c>
      <c r="AJ171" s="50" t="s">
        <v>317</v>
      </c>
      <c r="AK171" s="53" t="s">
        <v>317</v>
      </c>
      <c r="AM171" s="43" t="s">
        <v>832</v>
      </c>
    </row>
    <row r="172" spans="1:39" s="7" customFormat="1" x14ac:dyDescent="0.25">
      <c r="A172" s="7" t="str">
        <f>+MID(Tabla1[[#This Row],[N° Decreto
Expansión]],1,4)</f>
        <v>2019</v>
      </c>
      <c r="B172" s="7" t="str">
        <f>+RIGHT(Tabla1[[#This Row],[N° Decreto
Expansión]],3)</f>
        <v>198</v>
      </c>
      <c r="C172" s="32" t="s">
        <v>792</v>
      </c>
      <c r="D172" s="7" t="s">
        <v>307</v>
      </c>
      <c r="E172" s="7" t="s">
        <v>17</v>
      </c>
      <c r="F172" s="7" t="s">
        <v>308</v>
      </c>
      <c r="G172" s="45" t="s">
        <v>309</v>
      </c>
      <c r="H172" s="7" t="s">
        <v>310</v>
      </c>
      <c r="I172" s="7" t="s">
        <v>793</v>
      </c>
      <c r="J172" s="7">
        <v>1</v>
      </c>
      <c r="K172" s="33" t="s">
        <v>33</v>
      </c>
      <c r="L172" s="7" t="s">
        <v>345</v>
      </c>
      <c r="M172" s="7" t="s">
        <v>345</v>
      </c>
      <c r="N172" s="7" t="s">
        <v>833</v>
      </c>
      <c r="O172" s="7" t="s">
        <v>820</v>
      </c>
      <c r="P172" s="7" t="s">
        <v>793</v>
      </c>
      <c r="Q172" s="34">
        <v>44022</v>
      </c>
      <c r="R172" s="33" t="s">
        <v>317</v>
      </c>
      <c r="S172" s="33" t="s">
        <v>317</v>
      </c>
      <c r="T172" s="36">
        <v>3.6362730000000001</v>
      </c>
      <c r="U172" s="60">
        <v>30</v>
      </c>
      <c r="V172" s="37">
        <v>6372580.28383632</v>
      </c>
      <c r="W172" s="37">
        <f>Tabla1[[#This Row],[V.I. Adj]]/1000000</f>
        <v>6.3725802838363199</v>
      </c>
      <c r="X172" s="48" t="s">
        <v>317</v>
      </c>
      <c r="Y172" s="48" t="s">
        <v>317</v>
      </c>
      <c r="Z172" s="48" t="s">
        <v>317</v>
      </c>
      <c r="AA172" s="48" t="s">
        <v>317</v>
      </c>
      <c r="AB172" s="48" t="s">
        <v>317</v>
      </c>
      <c r="AC172" s="7" t="s">
        <v>58</v>
      </c>
      <c r="AD172" s="7" t="s">
        <v>834</v>
      </c>
      <c r="AE172" s="7" t="s">
        <v>317</v>
      </c>
      <c r="AF172" s="7" t="s">
        <v>835</v>
      </c>
      <c r="AG172" s="40" t="s">
        <v>319</v>
      </c>
      <c r="AH172" s="41">
        <v>43614</v>
      </c>
      <c r="AI172" s="41">
        <v>43687</v>
      </c>
      <c r="AJ172" s="50" t="s">
        <v>317</v>
      </c>
      <c r="AK172" s="53" t="s">
        <v>317</v>
      </c>
      <c r="AM172" s="43" t="s">
        <v>835</v>
      </c>
    </row>
    <row r="173" spans="1:39" s="7" customFormat="1" x14ac:dyDescent="0.25">
      <c r="A173" s="7" t="str">
        <f>+MID(Tabla1[[#This Row],[N° Decreto
Expansión]],1,4)</f>
        <v>2019</v>
      </c>
      <c r="B173" s="7" t="str">
        <f>+RIGHT(Tabla1[[#This Row],[N° Decreto
Expansión]],3)</f>
        <v>198</v>
      </c>
      <c r="C173" s="32" t="s">
        <v>792</v>
      </c>
      <c r="D173" s="7" t="s">
        <v>307</v>
      </c>
      <c r="E173" s="7" t="s">
        <v>17</v>
      </c>
      <c r="F173" s="7" t="s">
        <v>308</v>
      </c>
      <c r="G173" s="45" t="s">
        <v>309</v>
      </c>
      <c r="H173" s="7" t="s">
        <v>310</v>
      </c>
      <c r="I173" s="7" t="s">
        <v>793</v>
      </c>
      <c r="J173" s="7">
        <v>1</v>
      </c>
      <c r="K173" s="33" t="s">
        <v>312</v>
      </c>
      <c r="L173" s="7" t="s">
        <v>345</v>
      </c>
      <c r="M173" s="7" t="s">
        <v>345</v>
      </c>
      <c r="N173" s="7" t="s">
        <v>836</v>
      </c>
      <c r="O173" s="7" t="s">
        <v>820</v>
      </c>
      <c r="P173" s="7" t="s">
        <v>793</v>
      </c>
      <c r="Q173" s="34">
        <v>44022</v>
      </c>
      <c r="R173" s="33" t="s">
        <v>317</v>
      </c>
      <c r="S173" s="33" t="s">
        <v>317</v>
      </c>
      <c r="T173" s="36">
        <v>1.3732310000000001</v>
      </c>
      <c r="U173" s="60">
        <v>24</v>
      </c>
      <c r="V173" s="37">
        <v>2406591.8031327226</v>
      </c>
      <c r="W173" s="37">
        <f>Tabla1[[#This Row],[V.I. Adj]]/1000000</f>
        <v>2.4065918031327227</v>
      </c>
      <c r="X173" s="48" t="s">
        <v>317</v>
      </c>
      <c r="Y173" s="48" t="s">
        <v>317</v>
      </c>
      <c r="Z173" s="48" t="s">
        <v>317</v>
      </c>
      <c r="AA173" s="48" t="s">
        <v>317</v>
      </c>
      <c r="AB173" s="48" t="s">
        <v>317</v>
      </c>
      <c r="AC173" s="7" t="s">
        <v>837</v>
      </c>
      <c r="AD173" s="7" t="s">
        <v>834</v>
      </c>
      <c r="AE173" s="7" t="s">
        <v>317</v>
      </c>
      <c r="AF173" s="7" t="s">
        <v>838</v>
      </c>
      <c r="AG173" s="40" t="s">
        <v>319</v>
      </c>
      <c r="AH173" s="41">
        <v>43614</v>
      </c>
      <c r="AI173" s="41">
        <v>43687</v>
      </c>
      <c r="AJ173" s="50" t="s">
        <v>317</v>
      </c>
      <c r="AK173" s="53" t="s">
        <v>317</v>
      </c>
      <c r="AM173" s="43" t="s">
        <v>838</v>
      </c>
    </row>
    <row r="174" spans="1:39" s="7" customFormat="1" x14ac:dyDescent="0.25">
      <c r="A174" s="7" t="str">
        <f>+MID(Tabla1[[#This Row],[N° Decreto
Expansión]],1,4)</f>
        <v>2019</v>
      </c>
      <c r="B174" s="7" t="str">
        <f>+RIGHT(Tabla1[[#This Row],[N° Decreto
Expansión]],3)</f>
        <v>198</v>
      </c>
      <c r="C174" s="32" t="s">
        <v>792</v>
      </c>
      <c r="D174" s="7" t="s">
        <v>307</v>
      </c>
      <c r="E174" s="7" t="s">
        <v>17</v>
      </c>
      <c r="F174" s="7" t="s">
        <v>308</v>
      </c>
      <c r="G174" s="45" t="s">
        <v>309</v>
      </c>
      <c r="H174" s="7" t="s">
        <v>310</v>
      </c>
      <c r="I174" s="7" t="s">
        <v>793</v>
      </c>
      <c r="J174" s="7">
        <v>1</v>
      </c>
      <c r="K174" s="33" t="s">
        <v>312</v>
      </c>
      <c r="L174" s="7" t="s">
        <v>345</v>
      </c>
      <c r="M174" s="7" t="s">
        <v>345</v>
      </c>
      <c r="N174" s="7" t="s">
        <v>839</v>
      </c>
      <c r="O174" s="7" t="s">
        <v>820</v>
      </c>
      <c r="P174" s="7" t="s">
        <v>793</v>
      </c>
      <c r="Q174" s="34">
        <v>44022</v>
      </c>
      <c r="R174" s="33" t="s">
        <v>317</v>
      </c>
      <c r="S174" s="33" t="s">
        <v>317</v>
      </c>
      <c r="T174" s="36">
        <v>1.8342890000000001</v>
      </c>
      <c r="U174" s="60">
        <v>24</v>
      </c>
      <c r="V174" s="37">
        <v>3214597.4508123677</v>
      </c>
      <c r="W174" s="37">
        <f>Tabla1[[#This Row],[V.I. Adj]]/1000000</f>
        <v>3.2145974508123678</v>
      </c>
      <c r="X174" s="48" t="s">
        <v>317</v>
      </c>
      <c r="Y174" s="48" t="s">
        <v>317</v>
      </c>
      <c r="Z174" s="48" t="s">
        <v>317</v>
      </c>
      <c r="AA174" s="48" t="s">
        <v>317</v>
      </c>
      <c r="AB174" s="48" t="s">
        <v>317</v>
      </c>
      <c r="AC174" s="7" t="s">
        <v>58</v>
      </c>
      <c r="AD174" s="7" t="s">
        <v>834</v>
      </c>
      <c r="AE174" s="7" t="s">
        <v>317</v>
      </c>
      <c r="AF174" s="7" t="s">
        <v>840</v>
      </c>
      <c r="AG174" s="40" t="s">
        <v>319</v>
      </c>
      <c r="AH174" s="41">
        <v>43614</v>
      </c>
      <c r="AI174" s="41">
        <v>43687</v>
      </c>
      <c r="AJ174" s="50" t="s">
        <v>317</v>
      </c>
      <c r="AK174" s="53" t="s">
        <v>317</v>
      </c>
      <c r="AM174" s="43" t="s">
        <v>840</v>
      </c>
    </row>
    <row r="175" spans="1:39" s="7" customFormat="1" x14ac:dyDescent="0.25">
      <c r="A175" s="7" t="str">
        <f>+MID(Tabla1[[#This Row],[N° Decreto
Expansión]],1,4)</f>
        <v>2019</v>
      </c>
      <c r="B175" s="7" t="str">
        <f>+RIGHT(Tabla1[[#This Row],[N° Decreto
Expansión]],3)</f>
        <v>198</v>
      </c>
      <c r="C175" s="32" t="s">
        <v>792</v>
      </c>
      <c r="D175" s="7" t="s">
        <v>307</v>
      </c>
      <c r="E175" s="7" t="s">
        <v>17</v>
      </c>
      <c r="F175" s="7" t="s">
        <v>308</v>
      </c>
      <c r="G175" s="45" t="s">
        <v>309</v>
      </c>
      <c r="H175" s="7" t="s">
        <v>310</v>
      </c>
      <c r="I175" s="7" t="s">
        <v>793</v>
      </c>
      <c r="J175" s="7">
        <v>1</v>
      </c>
      <c r="K175" s="33" t="s">
        <v>312</v>
      </c>
      <c r="L175" s="7" t="s">
        <v>355</v>
      </c>
      <c r="M175" s="7" t="s">
        <v>355</v>
      </c>
      <c r="N175" s="7" t="s">
        <v>841</v>
      </c>
      <c r="O175" s="7" t="s">
        <v>820</v>
      </c>
      <c r="P175" s="7" t="s">
        <v>793</v>
      </c>
      <c r="Q175" s="34">
        <v>44022</v>
      </c>
      <c r="R175" s="33" t="s">
        <v>317</v>
      </c>
      <c r="S175" s="33" t="s">
        <v>317</v>
      </c>
      <c r="T175" s="36">
        <v>1.3940189999999999</v>
      </c>
      <c r="U175" s="60">
        <v>24</v>
      </c>
      <c r="V175" s="37">
        <v>2443022.8408849454</v>
      </c>
      <c r="W175" s="37">
        <f>Tabla1[[#This Row],[V.I. Adj]]/1000000</f>
        <v>2.4430228408849453</v>
      </c>
      <c r="X175" s="48" t="s">
        <v>317</v>
      </c>
      <c r="Y175" s="48" t="s">
        <v>317</v>
      </c>
      <c r="Z175" s="48" t="s">
        <v>317</v>
      </c>
      <c r="AA175" s="48" t="s">
        <v>317</v>
      </c>
      <c r="AB175" s="48" t="s">
        <v>317</v>
      </c>
      <c r="AC175" s="7" t="s">
        <v>27</v>
      </c>
      <c r="AD175" s="7" t="s">
        <v>834</v>
      </c>
      <c r="AE175" s="7" t="s">
        <v>317</v>
      </c>
      <c r="AF175" s="7" t="s">
        <v>842</v>
      </c>
      <c r="AG175" s="40" t="s">
        <v>319</v>
      </c>
      <c r="AH175" s="41">
        <v>43614</v>
      </c>
      <c r="AI175" s="41">
        <v>43687</v>
      </c>
      <c r="AJ175" s="50" t="s">
        <v>317</v>
      </c>
      <c r="AK175" s="53" t="s">
        <v>317</v>
      </c>
      <c r="AM175" s="43" t="s">
        <v>842</v>
      </c>
    </row>
    <row r="176" spans="1:39" s="7" customFormat="1" x14ac:dyDescent="0.25">
      <c r="A176" s="7" t="str">
        <f>+MID(Tabla1[[#This Row],[N° Decreto
Expansión]],1,4)</f>
        <v>2019</v>
      </c>
      <c r="B176" s="7" t="str">
        <f>+RIGHT(Tabla1[[#This Row],[N° Decreto
Expansión]],3)</f>
        <v>198</v>
      </c>
      <c r="C176" s="32" t="s">
        <v>792</v>
      </c>
      <c r="D176" s="7" t="s">
        <v>307</v>
      </c>
      <c r="E176" s="7" t="s">
        <v>17</v>
      </c>
      <c r="F176" s="7" t="s">
        <v>308</v>
      </c>
      <c r="G176" s="45" t="s">
        <v>309</v>
      </c>
      <c r="H176" s="7" t="s">
        <v>310</v>
      </c>
      <c r="I176" s="7" t="s">
        <v>793</v>
      </c>
      <c r="J176" s="7">
        <v>1</v>
      </c>
      <c r="K176" s="33" t="s">
        <v>312</v>
      </c>
      <c r="L176" s="7" t="s">
        <v>355</v>
      </c>
      <c r="M176" s="7" t="s">
        <v>355</v>
      </c>
      <c r="N176" s="7" t="s">
        <v>843</v>
      </c>
      <c r="O176" s="7" t="s">
        <v>820</v>
      </c>
      <c r="P176" s="7" t="s">
        <v>793</v>
      </c>
      <c r="Q176" s="34">
        <v>44022</v>
      </c>
      <c r="R176" s="33" t="s">
        <v>317</v>
      </c>
      <c r="S176" s="33" t="s">
        <v>317</v>
      </c>
      <c r="T176" s="36">
        <v>1.2628250000000001</v>
      </c>
      <c r="U176" s="60">
        <v>24</v>
      </c>
      <c r="V176" s="37">
        <v>2213104.9282976282</v>
      </c>
      <c r="W176" s="37">
        <f>Tabla1[[#This Row],[V.I. Adj]]/1000000</f>
        <v>2.2131049282976281</v>
      </c>
      <c r="X176" s="48" t="s">
        <v>317</v>
      </c>
      <c r="Y176" s="48" t="s">
        <v>317</v>
      </c>
      <c r="Z176" s="48" t="s">
        <v>317</v>
      </c>
      <c r="AA176" s="48" t="s">
        <v>317</v>
      </c>
      <c r="AB176" s="48" t="s">
        <v>317</v>
      </c>
      <c r="AC176" s="7" t="s">
        <v>27</v>
      </c>
      <c r="AD176" s="7" t="s">
        <v>834</v>
      </c>
      <c r="AE176" s="7" t="s">
        <v>317</v>
      </c>
      <c r="AF176" s="7" t="s">
        <v>844</v>
      </c>
      <c r="AG176" s="40" t="s">
        <v>319</v>
      </c>
      <c r="AH176" s="41">
        <v>43614</v>
      </c>
      <c r="AI176" s="41">
        <v>43687</v>
      </c>
      <c r="AJ176" s="50" t="s">
        <v>317</v>
      </c>
      <c r="AK176" s="53" t="s">
        <v>317</v>
      </c>
      <c r="AM176" s="43" t="s">
        <v>844</v>
      </c>
    </row>
    <row r="177" spans="1:39" s="7" customFormat="1" x14ac:dyDescent="0.25">
      <c r="A177" s="7" t="str">
        <f>+MID(Tabla1[[#This Row],[N° Decreto
Expansión]],1,4)</f>
        <v>2019</v>
      </c>
      <c r="B177" s="7" t="str">
        <f>+RIGHT(Tabla1[[#This Row],[N° Decreto
Expansión]],3)</f>
        <v>198</v>
      </c>
      <c r="C177" s="32" t="s">
        <v>792</v>
      </c>
      <c r="D177" s="7" t="s">
        <v>307</v>
      </c>
      <c r="E177" s="7" t="s">
        <v>17</v>
      </c>
      <c r="F177" s="7" t="s">
        <v>308</v>
      </c>
      <c r="G177" s="45" t="s">
        <v>309</v>
      </c>
      <c r="H177" s="7" t="s">
        <v>310</v>
      </c>
      <c r="I177" s="7" t="s">
        <v>793</v>
      </c>
      <c r="J177" s="7">
        <v>1</v>
      </c>
      <c r="K177" s="33" t="s">
        <v>312</v>
      </c>
      <c r="L177" s="7" t="s">
        <v>355</v>
      </c>
      <c r="M177" s="7" t="s">
        <v>355</v>
      </c>
      <c r="N177" s="7" t="s">
        <v>845</v>
      </c>
      <c r="O177" s="7" t="s">
        <v>820</v>
      </c>
      <c r="P177" s="7" t="s">
        <v>793</v>
      </c>
      <c r="Q177" s="34">
        <v>44022</v>
      </c>
      <c r="R177" s="33" t="s">
        <v>317</v>
      </c>
      <c r="S177" s="33" t="s">
        <v>317</v>
      </c>
      <c r="T177" s="36">
        <v>0.52099799999999996</v>
      </c>
      <c r="U177" s="60">
        <v>24</v>
      </c>
      <c r="V177" s="37">
        <v>913050.69303601666</v>
      </c>
      <c r="W177" s="37">
        <f>Tabla1[[#This Row],[V.I. Adj]]/1000000</f>
        <v>0.91305069303601671</v>
      </c>
      <c r="X177" s="48" t="s">
        <v>317</v>
      </c>
      <c r="Y177" s="48" t="s">
        <v>317</v>
      </c>
      <c r="Z177" s="48" t="s">
        <v>317</v>
      </c>
      <c r="AA177" s="48" t="s">
        <v>317</v>
      </c>
      <c r="AB177" s="48" t="s">
        <v>317</v>
      </c>
      <c r="AC177" s="7" t="s">
        <v>58</v>
      </c>
      <c r="AD177" s="7" t="s">
        <v>834</v>
      </c>
      <c r="AE177" s="7" t="s">
        <v>317</v>
      </c>
      <c r="AF177" s="7" t="s">
        <v>846</v>
      </c>
      <c r="AG177" s="40" t="s">
        <v>319</v>
      </c>
      <c r="AH177" s="41">
        <v>43614</v>
      </c>
      <c r="AI177" s="41">
        <v>43687</v>
      </c>
      <c r="AJ177" s="50" t="s">
        <v>317</v>
      </c>
      <c r="AK177" s="53" t="s">
        <v>317</v>
      </c>
      <c r="AM177" s="43" t="s">
        <v>846</v>
      </c>
    </row>
    <row r="178" spans="1:39" s="7" customFormat="1" x14ac:dyDescent="0.25">
      <c r="A178" s="7" t="str">
        <f>+MID(Tabla1[[#This Row],[N° Decreto
Expansión]],1,4)</f>
        <v>2019</v>
      </c>
      <c r="B178" s="7" t="str">
        <f>+RIGHT(Tabla1[[#This Row],[N° Decreto
Expansión]],3)</f>
        <v>198</v>
      </c>
      <c r="C178" s="32" t="s">
        <v>792</v>
      </c>
      <c r="D178" s="7" t="s">
        <v>562</v>
      </c>
      <c r="E178" s="7" t="s">
        <v>17</v>
      </c>
      <c r="F178" s="7" t="s">
        <v>308</v>
      </c>
      <c r="G178" s="45" t="s">
        <v>309</v>
      </c>
      <c r="H178" s="7" t="s">
        <v>310</v>
      </c>
      <c r="I178" s="7" t="s">
        <v>793</v>
      </c>
      <c r="J178" s="7">
        <v>1</v>
      </c>
      <c r="K178" s="33" t="s">
        <v>312</v>
      </c>
      <c r="L178" s="7" t="s">
        <v>355</v>
      </c>
      <c r="M178" s="7" t="s">
        <v>355</v>
      </c>
      <c r="N178" s="7" t="s">
        <v>847</v>
      </c>
      <c r="O178" s="7" t="s">
        <v>795</v>
      </c>
      <c r="P178" s="7" t="s">
        <v>793</v>
      </c>
      <c r="Q178" s="34">
        <v>44022</v>
      </c>
      <c r="R178" s="33" t="s">
        <v>317</v>
      </c>
      <c r="S178" s="33" t="s">
        <v>317</v>
      </c>
      <c r="T178" s="36">
        <v>1.200631</v>
      </c>
      <c r="U178" s="60">
        <v>24</v>
      </c>
      <c r="V178" s="37">
        <v>1403898.1427202451</v>
      </c>
      <c r="W178" s="37">
        <f>Tabla1[[#This Row],[V.I. Adj]]/1000000</f>
        <v>1.403898142720245</v>
      </c>
      <c r="X178" s="48" t="s">
        <v>317</v>
      </c>
      <c r="Y178" s="48" t="s">
        <v>317</v>
      </c>
      <c r="Z178" s="48" t="s">
        <v>317</v>
      </c>
      <c r="AA178" s="48" t="s">
        <v>317</v>
      </c>
      <c r="AB178" s="48" t="s">
        <v>317</v>
      </c>
      <c r="AC178" s="7" t="s">
        <v>34</v>
      </c>
      <c r="AD178" s="7" t="s">
        <v>848</v>
      </c>
      <c r="AE178" s="7" t="s">
        <v>317</v>
      </c>
      <c r="AF178" s="7" t="s">
        <v>849</v>
      </c>
      <c r="AG178" s="40" t="s">
        <v>319</v>
      </c>
      <c r="AH178" s="41">
        <v>43614</v>
      </c>
      <c r="AI178" s="41">
        <v>43687</v>
      </c>
      <c r="AJ178" s="50" t="s">
        <v>317</v>
      </c>
      <c r="AK178" s="53" t="s">
        <v>317</v>
      </c>
      <c r="AM178" s="43" t="s">
        <v>849</v>
      </c>
    </row>
    <row r="179" spans="1:39" s="7" customFormat="1" x14ac:dyDescent="0.25">
      <c r="A179" s="7" t="str">
        <f>+MID(Tabla1[[#This Row],[N° Decreto
Expansión]],1,4)</f>
        <v>2019</v>
      </c>
      <c r="B179" s="7" t="str">
        <f>+RIGHT(Tabla1[[#This Row],[N° Decreto
Expansión]],3)</f>
        <v>198</v>
      </c>
      <c r="C179" s="32" t="s">
        <v>792</v>
      </c>
      <c r="D179" s="7" t="s">
        <v>307</v>
      </c>
      <c r="E179" s="7" t="s">
        <v>17</v>
      </c>
      <c r="F179" s="7" t="s">
        <v>308</v>
      </c>
      <c r="G179" s="45" t="s">
        <v>309</v>
      </c>
      <c r="H179" s="7" t="s">
        <v>310</v>
      </c>
      <c r="I179" s="7" t="s">
        <v>793</v>
      </c>
      <c r="J179" s="7">
        <v>1</v>
      </c>
      <c r="K179" s="33" t="s">
        <v>312</v>
      </c>
      <c r="L179" s="7" t="s">
        <v>355</v>
      </c>
      <c r="M179" s="7" t="s">
        <v>355</v>
      </c>
      <c r="N179" s="7" t="s">
        <v>850</v>
      </c>
      <c r="O179" s="7" t="s">
        <v>795</v>
      </c>
      <c r="P179" s="7" t="s">
        <v>793</v>
      </c>
      <c r="Q179" s="34">
        <v>44022</v>
      </c>
      <c r="R179" s="33" t="s">
        <v>317</v>
      </c>
      <c r="S179" s="33" t="s">
        <v>317</v>
      </c>
      <c r="T179" s="36">
        <v>2.2172649999999998</v>
      </c>
      <c r="U179" s="60">
        <v>24</v>
      </c>
      <c r="V179" s="37">
        <v>2592648.5451555094</v>
      </c>
      <c r="W179" s="37">
        <f>Tabla1[[#This Row],[V.I. Adj]]/1000000</f>
        <v>2.5926485451555092</v>
      </c>
      <c r="X179" s="48" t="s">
        <v>317</v>
      </c>
      <c r="Y179" s="48" t="s">
        <v>317</v>
      </c>
      <c r="Z179" s="48" t="s">
        <v>317</v>
      </c>
      <c r="AA179" s="48" t="s">
        <v>317</v>
      </c>
      <c r="AB179" s="48" t="s">
        <v>317</v>
      </c>
      <c r="AC179" s="7" t="s">
        <v>55</v>
      </c>
      <c r="AD179" s="7" t="s">
        <v>848</v>
      </c>
      <c r="AE179" s="7" t="s">
        <v>317</v>
      </c>
      <c r="AF179" s="7" t="s">
        <v>851</v>
      </c>
      <c r="AG179" s="40" t="s">
        <v>319</v>
      </c>
      <c r="AH179" s="41">
        <v>43614</v>
      </c>
      <c r="AI179" s="41">
        <v>43687</v>
      </c>
      <c r="AJ179" s="50" t="s">
        <v>317</v>
      </c>
      <c r="AK179" s="53" t="s">
        <v>317</v>
      </c>
      <c r="AM179" s="43" t="s">
        <v>851</v>
      </c>
    </row>
    <row r="180" spans="1:39" s="7" customFormat="1" x14ac:dyDescent="0.25">
      <c r="A180" s="7" t="str">
        <f>+MID(Tabla1[[#This Row],[N° Decreto
Expansión]],1,4)</f>
        <v>2019</v>
      </c>
      <c r="B180" s="7" t="str">
        <f>+RIGHT(Tabla1[[#This Row],[N° Decreto
Expansión]],3)</f>
        <v>198</v>
      </c>
      <c r="C180" s="32" t="s">
        <v>792</v>
      </c>
      <c r="D180" s="7" t="s">
        <v>307</v>
      </c>
      <c r="E180" s="7" t="s">
        <v>17</v>
      </c>
      <c r="F180" s="7" t="s">
        <v>308</v>
      </c>
      <c r="G180" s="45" t="s">
        <v>309</v>
      </c>
      <c r="H180" s="7" t="s">
        <v>310</v>
      </c>
      <c r="I180" s="7" t="s">
        <v>793</v>
      </c>
      <c r="J180" s="7">
        <v>1</v>
      </c>
      <c r="K180" s="33" t="s">
        <v>312</v>
      </c>
      <c r="L180" s="7" t="s">
        <v>355</v>
      </c>
      <c r="M180" s="7" t="s">
        <v>355</v>
      </c>
      <c r="N180" s="7" t="s">
        <v>852</v>
      </c>
      <c r="O180" s="7" t="s">
        <v>795</v>
      </c>
      <c r="P180" s="7" t="s">
        <v>793</v>
      </c>
      <c r="Q180" s="34">
        <v>44022</v>
      </c>
      <c r="R180" s="34">
        <v>44300</v>
      </c>
      <c r="S180" s="33" t="s">
        <v>317</v>
      </c>
      <c r="T180" s="36">
        <v>3.0092249999999998</v>
      </c>
      <c r="U180" s="60">
        <v>24</v>
      </c>
      <c r="V180" s="37">
        <v>3518687.5805533333</v>
      </c>
      <c r="W180" s="37">
        <f>Tabla1[[#This Row],[V.I. Adj]]/1000000</f>
        <v>3.5186875805533333</v>
      </c>
      <c r="X180" s="48" t="s">
        <v>317</v>
      </c>
      <c r="Y180" s="48" t="s">
        <v>317</v>
      </c>
      <c r="Z180" s="48" t="s">
        <v>317</v>
      </c>
      <c r="AA180" s="48" t="s">
        <v>317</v>
      </c>
      <c r="AB180" s="48" t="s">
        <v>317</v>
      </c>
      <c r="AC180" s="7" t="s">
        <v>55</v>
      </c>
      <c r="AD180" s="7" t="s">
        <v>848</v>
      </c>
      <c r="AE180" s="7" t="s">
        <v>317</v>
      </c>
      <c r="AF180" s="7" t="s">
        <v>853</v>
      </c>
      <c r="AG180" s="40" t="s">
        <v>319</v>
      </c>
      <c r="AH180" s="41">
        <v>43614</v>
      </c>
      <c r="AI180" s="41">
        <v>43687</v>
      </c>
      <c r="AJ180" s="50" t="s">
        <v>317</v>
      </c>
      <c r="AK180" s="53" t="s">
        <v>317</v>
      </c>
      <c r="AM180" s="43" t="s">
        <v>853</v>
      </c>
    </row>
    <row r="181" spans="1:39" s="7" customFormat="1" x14ac:dyDescent="0.25">
      <c r="A181" s="7" t="str">
        <f>+MID(Tabla1[[#This Row],[N° Decreto
Expansión]],1,4)</f>
        <v>2019</v>
      </c>
      <c r="B181" s="7" t="str">
        <f>+RIGHT(Tabla1[[#This Row],[N° Decreto
Expansión]],3)</f>
        <v>198</v>
      </c>
      <c r="C181" s="32" t="s">
        <v>792</v>
      </c>
      <c r="D181" s="7" t="s">
        <v>307</v>
      </c>
      <c r="E181" s="7" t="s">
        <v>17</v>
      </c>
      <c r="F181" s="7" t="s">
        <v>308</v>
      </c>
      <c r="G181" s="45" t="s">
        <v>309</v>
      </c>
      <c r="H181" s="7" t="s">
        <v>310</v>
      </c>
      <c r="I181" s="7" t="s">
        <v>793</v>
      </c>
      <c r="J181" s="7">
        <v>1</v>
      </c>
      <c r="K181" s="33" t="s">
        <v>312</v>
      </c>
      <c r="L181" s="7" t="s">
        <v>355</v>
      </c>
      <c r="M181" s="7" t="s">
        <v>355</v>
      </c>
      <c r="N181" s="7" t="s">
        <v>854</v>
      </c>
      <c r="O181" s="7" t="s">
        <v>795</v>
      </c>
      <c r="P181" s="7" t="s">
        <v>793</v>
      </c>
      <c r="Q181" s="34">
        <v>44022</v>
      </c>
      <c r="R181" s="33" t="s">
        <v>317</v>
      </c>
      <c r="S181" s="33" t="s">
        <v>317</v>
      </c>
      <c r="T181" s="36">
        <v>0.87968400000000002</v>
      </c>
      <c r="U181" s="60">
        <v>24</v>
      </c>
      <c r="V181" s="37">
        <v>1028614.7315709123</v>
      </c>
      <c r="W181" s="37">
        <f>Tabla1[[#This Row],[V.I. Adj]]/1000000</f>
        <v>1.0286147315709122</v>
      </c>
      <c r="X181" s="48" t="s">
        <v>317</v>
      </c>
      <c r="Y181" s="48" t="s">
        <v>317</v>
      </c>
      <c r="Z181" s="48" t="s">
        <v>317</v>
      </c>
      <c r="AA181" s="48" t="s">
        <v>317</v>
      </c>
      <c r="AB181" s="48" t="s">
        <v>317</v>
      </c>
      <c r="AC181" s="7" t="s">
        <v>55</v>
      </c>
      <c r="AD181" s="7" t="s">
        <v>848</v>
      </c>
      <c r="AE181" s="7" t="s">
        <v>317</v>
      </c>
      <c r="AF181" s="7" t="s">
        <v>855</v>
      </c>
      <c r="AG181" s="40" t="s">
        <v>319</v>
      </c>
      <c r="AH181" s="41">
        <v>43614</v>
      </c>
      <c r="AI181" s="41">
        <v>43687</v>
      </c>
      <c r="AJ181" s="50" t="s">
        <v>317</v>
      </c>
      <c r="AK181" s="53" t="s">
        <v>317</v>
      </c>
      <c r="AM181" s="43" t="s">
        <v>855</v>
      </c>
    </row>
    <row r="182" spans="1:39" s="7" customFormat="1" x14ac:dyDescent="0.25">
      <c r="A182" s="7" t="str">
        <f>+MID(Tabla1[[#This Row],[N° Decreto
Expansión]],1,4)</f>
        <v>2019</v>
      </c>
      <c r="B182" s="7" t="str">
        <f>+RIGHT(Tabla1[[#This Row],[N° Decreto
Expansión]],3)</f>
        <v>198</v>
      </c>
      <c r="C182" s="32" t="s">
        <v>792</v>
      </c>
      <c r="D182" s="7" t="s">
        <v>307</v>
      </c>
      <c r="E182" s="7" t="s">
        <v>17</v>
      </c>
      <c r="F182" s="7" t="s">
        <v>308</v>
      </c>
      <c r="G182" s="45" t="s">
        <v>309</v>
      </c>
      <c r="H182" s="7" t="s">
        <v>310</v>
      </c>
      <c r="I182" s="7" t="s">
        <v>359</v>
      </c>
      <c r="J182" s="7">
        <v>1</v>
      </c>
      <c r="K182" s="33" t="s">
        <v>312</v>
      </c>
      <c r="L182" s="7" t="s">
        <v>355</v>
      </c>
      <c r="M182" s="7" t="s">
        <v>355</v>
      </c>
      <c r="N182" s="7" t="s">
        <v>856</v>
      </c>
      <c r="O182" s="7" t="s">
        <v>857</v>
      </c>
      <c r="P182" s="7" t="s">
        <v>637</v>
      </c>
      <c r="Q182" s="34">
        <v>44421</v>
      </c>
      <c r="R182" s="33" t="s">
        <v>317</v>
      </c>
      <c r="S182" s="33" t="s">
        <v>317</v>
      </c>
      <c r="T182" s="36">
        <v>5.2457219999999998</v>
      </c>
      <c r="U182" s="60">
        <v>20</v>
      </c>
      <c r="V182" s="37">
        <v>2766186</v>
      </c>
      <c r="W182" s="37">
        <f>Tabla1[[#This Row],[V.I. Adj]]/1000000</f>
        <v>2.7661859999999998</v>
      </c>
      <c r="X182" s="48" t="s">
        <v>317</v>
      </c>
      <c r="Y182" s="48" t="s">
        <v>317</v>
      </c>
      <c r="Z182" s="48" t="s">
        <v>317</v>
      </c>
      <c r="AA182" s="48" t="s">
        <v>317</v>
      </c>
      <c r="AB182" s="48" t="s">
        <v>317</v>
      </c>
      <c r="AC182" s="7" t="s">
        <v>55</v>
      </c>
      <c r="AD182" s="7" t="s">
        <v>858</v>
      </c>
      <c r="AE182" s="7" t="s">
        <v>317</v>
      </c>
      <c r="AF182" s="7" t="s">
        <v>859</v>
      </c>
      <c r="AG182" s="40" t="s">
        <v>319</v>
      </c>
      <c r="AH182" s="41">
        <v>43614</v>
      </c>
      <c r="AI182" s="41">
        <v>43687</v>
      </c>
      <c r="AJ182" s="50" t="s">
        <v>317</v>
      </c>
      <c r="AK182" s="53" t="s">
        <v>317</v>
      </c>
      <c r="AM182" s="43" t="s">
        <v>859</v>
      </c>
    </row>
    <row r="183" spans="1:39" s="7" customFormat="1" x14ac:dyDescent="0.25">
      <c r="A183" s="7" t="str">
        <f>+MID(Tabla1[[#This Row],[N° Decreto
Expansión]],1,4)</f>
        <v>2019</v>
      </c>
      <c r="B183" s="7" t="str">
        <f>+RIGHT(Tabla1[[#This Row],[N° Decreto
Expansión]],3)</f>
        <v>198</v>
      </c>
      <c r="C183" s="32" t="s">
        <v>792</v>
      </c>
      <c r="D183" s="7" t="s">
        <v>562</v>
      </c>
      <c r="E183" s="7" t="s">
        <v>17</v>
      </c>
      <c r="F183" s="7" t="s">
        <v>308</v>
      </c>
      <c r="G183" s="45" t="s">
        <v>309</v>
      </c>
      <c r="H183" s="7" t="s">
        <v>310</v>
      </c>
      <c r="I183" s="7" t="s">
        <v>793</v>
      </c>
      <c r="J183" s="7">
        <v>1</v>
      </c>
      <c r="K183" s="33" t="s">
        <v>33</v>
      </c>
      <c r="L183" s="7" t="s">
        <v>355</v>
      </c>
      <c r="M183" s="7" t="s">
        <v>355</v>
      </c>
      <c r="N183" s="7" t="s">
        <v>860</v>
      </c>
      <c r="O183" s="7" t="s">
        <v>861</v>
      </c>
      <c r="P183" s="7" t="s">
        <v>793</v>
      </c>
      <c r="Q183" s="34">
        <v>44022</v>
      </c>
      <c r="R183" s="33" t="s">
        <v>317</v>
      </c>
      <c r="S183" s="33" t="s">
        <v>317</v>
      </c>
      <c r="T183" s="36">
        <v>42.221364999999999</v>
      </c>
      <c r="U183" s="60">
        <v>36</v>
      </c>
      <c r="V183" s="37">
        <v>40980000</v>
      </c>
      <c r="W183" s="37">
        <f>Tabla1[[#This Row],[V.I. Adj]]/1000000</f>
        <v>40.98</v>
      </c>
      <c r="X183" s="48" t="s">
        <v>317</v>
      </c>
      <c r="Y183" s="48" t="s">
        <v>317</v>
      </c>
      <c r="Z183" s="48" t="s">
        <v>317</v>
      </c>
      <c r="AA183" s="48" t="s">
        <v>317</v>
      </c>
      <c r="AB183" s="48" t="s">
        <v>317</v>
      </c>
      <c r="AC183" s="7" t="s">
        <v>34</v>
      </c>
      <c r="AD183" s="7" t="s">
        <v>862</v>
      </c>
      <c r="AE183" s="7" t="s">
        <v>317</v>
      </c>
      <c r="AF183" s="7" t="s">
        <v>863</v>
      </c>
      <c r="AG183" s="40" t="s">
        <v>319</v>
      </c>
      <c r="AH183" s="41">
        <v>43614</v>
      </c>
      <c r="AI183" s="41">
        <v>43687</v>
      </c>
      <c r="AJ183" s="50" t="s">
        <v>317</v>
      </c>
      <c r="AK183" s="53" t="s">
        <v>317</v>
      </c>
      <c r="AM183" s="43" t="s">
        <v>863</v>
      </c>
    </row>
    <row r="184" spans="1:39" s="7" customFormat="1" x14ac:dyDescent="0.25">
      <c r="A184" s="7" t="str">
        <f>+MID(Tabla1[[#This Row],[N° Decreto
Expansión]],1,4)</f>
        <v>2019</v>
      </c>
      <c r="B184" s="7" t="str">
        <f>+RIGHT(Tabla1[[#This Row],[N° Decreto
Expansión]],3)</f>
        <v>198</v>
      </c>
      <c r="C184" s="32" t="s">
        <v>792</v>
      </c>
      <c r="D184" s="7" t="s">
        <v>307</v>
      </c>
      <c r="E184" s="7" t="s">
        <v>17</v>
      </c>
      <c r="F184" s="7" t="s">
        <v>308</v>
      </c>
      <c r="G184" s="45" t="s">
        <v>309</v>
      </c>
      <c r="H184" s="7" t="s">
        <v>310</v>
      </c>
      <c r="I184" s="7" t="s">
        <v>793</v>
      </c>
      <c r="J184" s="7">
        <v>1</v>
      </c>
      <c r="K184" s="33" t="s">
        <v>312</v>
      </c>
      <c r="L184" s="7" t="s">
        <v>355</v>
      </c>
      <c r="M184" s="7" t="s">
        <v>355</v>
      </c>
      <c r="N184" s="7" t="s">
        <v>864</v>
      </c>
      <c r="O184" s="7" t="s">
        <v>820</v>
      </c>
      <c r="P184" s="7" t="s">
        <v>793</v>
      </c>
      <c r="Q184" s="34">
        <v>44022</v>
      </c>
      <c r="R184" s="33" t="s">
        <v>317</v>
      </c>
      <c r="S184" s="33" t="s">
        <v>317</v>
      </c>
      <c r="T184" s="36">
        <v>5.699058</v>
      </c>
      <c r="U184" s="60">
        <v>30</v>
      </c>
      <c r="V184" s="37">
        <v>6843955.5493767029</v>
      </c>
      <c r="W184" s="37">
        <f>Tabla1[[#This Row],[V.I. Adj]]/1000000</f>
        <v>6.8439555493767026</v>
      </c>
      <c r="X184" s="48" t="s">
        <v>317</v>
      </c>
      <c r="Y184" s="48" t="s">
        <v>317</v>
      </c>
      <c r="Z184" s="48" t="s">
        <v>317</v>
      </c>
      <c r="AA184" s="48" t="s">
        <v>317</v>
      </c>
      <c r="AB184" s="48" t="s">
        <v>317</v>
      </c>
      <c r="AC184" s="7" t="s">
        <v>27</v>
      </c>
      <c r="AD184" s="7" t="s">
        <v>865</v>
      </c>
      <c r="AE184" s="7" t="s">
        <v>317</v>
      </c>
      <c r="AF184" s="7" t="s">
        <v>866</v>
      </c>
      <c r="AG184" s="40" t="s">
        <v>319</v>
      </c>
      <c r="AH184" s="41">
        <v>43614</v>
      </c>
      <c r="AI184" s="41">
        <v>43687</v>
      </c>
      <c r="AJ184" s="50" t="s">
        <v>317</v>
      </c>
      <c r="AK184" s="53" t="s">
        <v>317</v>
      </c>
      <c r="AM184" s="43" t="s">
        <v>866</v>
      </c>
    </row>
    <row r="185" spans="1:39" s="7" customFormat="1" x14ac:dyDescent="0.25">
      <c r="A185" s="7" t="str">
        <f>+MID(Tabla1[[#This Row],[N° Decreto
Expansión]],1,4)</f>
        <v>2019</v>
      </c>
      <c r="B185" s="7" t="str">
        <f>+RIGHT(Tabla1[[#This Row],[N° Decreto
Expansión]],3)</f>
        <v>198</v>
      </c>
      <c r="C185" s="32" t="s">
        <v>792</v>
      </c>
      <c r="D185" s="7" t="s">
        <v>307</v>
      </c>
      <c r="E185" s="7" t="s">
        <v>17</v>
      </c>
      <c r="F185" s="7" t="s">
        <v>308</v>
      </c>
      <c r="G185" s="45" t="s">
        <v>309</v>
      </c>
      <c r="H185" s="7" t="s">
        <v>310</v>
      </c>
      <c r="I185" s="7" t="s">
        <v>793</v>
      </c>
      <c r="J185" s="7">
        <v>1</v>
      </c>
      <c r="K185" s="33" t="s">
        <v>312</v>
      </c>
      <c r="L185" s="7" t="s">
        <v>392</v>
      </c>
      <c r="M185" s="7" t="s">
        <v>392</v>
      </c>
      <c r="N185" s="7" t="s">
        <v>867</v>
      </c>
      <c r="O185" s="7" t="s">
        <v>820</v>
      </c>
      <c r="P185" s="7" t="s">
        <v>793</v>
      </c>
      <c r="Q185" s="34">
        <v>44022</v>
      </c>
      <c r="R185" s="33" t="s">
        <v>317</v>
      </c>
      <c r="S185" s="33" t="s">
        <v>317</v>
      </c>
      <c r="T185" s="36">
        <v>1.4127069999999999</v>
      </c>
      <c r="U185" s="60">
        <v>24</v>
      </c>
      <c r="V185" s="37">
        <v>1696509.1269984115</v>
      </c>
      <c r="W185" s="37">
        <f>Tabla1[[#This Row],[V.I. Adj]]/1000000</f>
        <v>1.6965091269984114</v>
      </c>
      <c r="X185" s="48" t="s">
        <v>317</v>
      </c>
      <c r="Y185" s="48" t="s">
        <v>317</v>
      </c>
      <c r="Z185" s="48" t="s">
        <v>317</v>
      </c>
      <c r="AA185" s="48" t="s">
        <v>317</v>
      </c>
      <c r="AB185" s="48" t="s">
        <v>317</v>
      </c>
      <c r="AC185" s="7" t="s">
        <v>27</v>
      </c>
      <c r="AD185" s="7" t="s">
        <v>865</v>
      </c>
      <c r="AE185" s="7" t="s">
        <v>317</v>
      </c>
      <c r="AF185" s="7" t="s">
        <v>868</v>
      </c>
      <c r="AG185" s="40" t="s">
        <v>319</v>
      </c>
      <c r="AH185" s="41">
        <v>43614</v>
      </c>
      <c r="AI185" s="41">
        <v>43687</v>
      </c>
      <c r="AJ185" s="50" t="s">
        <v>317</v>
      </c>
      <c r="AK185" s="53" t="s">
        <v>317</v>
      </c>
      <c r="AM185" s="43" t="s">
        <v>868</v>
      </c>
    </row>
    <row r="186" spans="1:39" s="7" customFormat="1" x14ac:dyDescent="0.25">
      <c r="A186" s="7" t="str">
        <f>+MID(Tabla1[[#This Row],[N° Decreto
Expansión]],1,4)</f>
        <v>2019</v>
      </c>
      <c r="B186" s="7" t="str">
        <f>+RIGHT(Tabla1[[#This Row],[N° Decreto
Expansión]],3)</f>
        <v>198</v>
      </c>
      <c r="C186" s="32" t="s">
        <v>792</v>
      </c>
      <c r="D186" s="7" t="s">
        <v>307</v>
      </c>
      <c r="E186" s="7" t="s">
        <v>17</v>
      </c>
      <c r="F186" s="7" t="s">
        <v>308</v>
      </c>
      <c r="G186" s="45" t="s">
        <v>309</v>
      </c>
      <c r="H186" s="7" t="s">
        <v>310</v>
      </c>
      <c r="I186" s="7" t="s">
        <v>793</v>
      </c>
      <c r="J186" s="7">
        <v>1</v>
      </c>
      <c r="K186" s="33" t="s">
        <v>312</v>
      </c>
      <c r="L186" s="7" t="s">
        <v>392</v>
      </c>
      <c r="M186" s="7" t="s">
        <v>392</v>
      </c>
      <c r="N186" s="7" t="s">
        <v>869</v>
      </c>
      <c r="O186" s="7" t="s">
        <v>820</v>
      </c>
      <c r="P186" s="7" t="s">
        <v>793</v>
      </c>
      <c r="Q186" s="34">
        <v>44022</v>
      </c>
      <c r="R186" s="33" t="s">
        <v>317</v>
      </c>
      <c r="S186" s="33" t="s">
        <v>317</v>
      </c>
      <c r="T186" s="36">
        <v>1.412255</v>
      </c>
      <c r="U186" s="60">
        <v>24</v>
      </c>
      <c r="V186" s="37">
        <v>1695966.3236248859</v>
      </c>
      <c r="W186" s="37">
        <f>Tabla1[[#This Row],[V.I. Adj]]/1000000</f>
        <v>1.6959663236248859</v>
      </c>
      <c r="X186" s="48" t="s">
        <v>317</v>
      </c>
      <c r="Y186" s="48" t="s">
        <v>317</v>
      </c>
      <c r="Z186" s="48" t="s">
        <v>317</v>
      </c>
      <c r="AA186" s="48" t="s">
        <v>317</v>
      </c>
      <c r="AB186" s="48" t="s">
        <v>317</v>
      </c>
      <c r="AC186" s="7" t="s">
        <v>27</v>
      </c>
      <c r="AD186" s="7" t="s">
        <v>865</v>
      </c>
      <c r="AE186" s="7" t="s">
        <v>317</v>
      </c>
      <c r="AF186" s="7" t="s">
        <v>870</v>
      </c>
      <c r="AG186" s="50" t="s">
        <v>871</v>
      </c>
      <c r="AH186" s="41">
        <v>43614</v>
      </c>
      <c r="AI186" s="41">
        <v>43687</v>
      </c>
      <c r="AJ186" s="50" t="s">
        <v>317</v>
      </c>
      <c r="AK186" s="53" t="s">
        <v>317</v>
      </c>
      <c r="AM186" s="43" t="s">
        <v>870</v>
      </c>
    </row>
    <row r="187" spans="1:39" s="7" customFormat="1" x14ac:dyDescent="0.25">
      <c r="A187" s="7" t="str">
        <f>+MID(Tabla1[[#This Row],[N° Decreto
Expansión]],1,4)</f>
        <v>2019</v>
      </c>
      <c r="B187" s="7" t="str">
        <f>+RIGHT(Tabla1[[#This Row],[N° Decreto
Expansión]],3)</f>
        <v>198</v>
      </c>
      <c r="C187" s="32" t="s">
        <v>792</v>
      </c>
      <c r="D187" s="7" t="s">
        <v>307</v>
      </c>
      <c r="E187" s="7" t="s">
        <v>17</v>
      </c>
      <c r="F187" s="7" t="s">
        <v>308</v>
      </c>
      <c r="G187" s="45" t="s">
        <v>309</v>
      </c>
      <c r="H187" s="7" t="s">
        <v>310</v>
      </c>
      <c r="I187" s="7" t="s">
        <v>793</v>
      </c>
      <c r="J187" s="7">
        <v>1</v>
      </c>
      <c r="K187" s="33" t="s">
        <v>33</v>
      </c>
      <c r="L187" s="7" t="s">
        <v>408</v>
      </c>
      <c r="M187" s="7" t="s">
        <v>408</v>
      </c>
      <c r="N187" s="7" t="s">
        <v>872</v>
      </c>
      <c r="O187" s="7" t="s">
        <v>795</v>
      </c>
      <c r="P187" s="7" t="s">
        <v>793</v>
      </c>
      <c r="Q187" s="34">
        <v>44022</v>
      </c>
      <c r="R187" s="33" t="s">
        <v>317</v>
      </c>
      <c r="S187" s="33" t="s">
        <v>317</v>
      </c>
      <c r="T187" s="36">
        <v>8.5915250000000007</v>
      </c>
      <c r="U187" s="60">
        <v>24</v>
      </c>
      <c r="V187" s="37">
        <v>9029538.6309614107</v>
      </c>
      <c r="W187" s="37">
        <f>Tabla1[[#This Row],[V.I. Adj]]/1000000</f>
        <v>9.0295386309614099</v>
      </c>
      <c r="X187" s="48" t="s">
        <v>317</v>
      </c>
      <c r="Y187" s="48" t="s">
        <v>317</v>
      </c>
      <c r="Z187" s="48" t="s">
        <v>317</v>
      </c>
      <c r="AA187" s="48" t="s">
        <v>317</v>
      </c>
      <c r="AB187" s="48" t="s">
        <v>317</v>
      </c>
      <c r="AC187" s="7" t="s">
        <v>27</v>
      </c>
      <c r="AD187" s="7" t="s">
        <v>873</v>
      </c>
      <c r="AE187" s="7" t="s">
        <v>317</v>
      </c>
      <c r="AF187" s="7" t="s">
        <v>874</v>
      </c>
      <c r="AG187" s="40" t="s">
        <v>319</v>
      </c>
      <c r="AH187" s="41">
        <v>43614</v>
      </c>
      <c r="AI187" s="41">
        <v>43687</v>
      </c>
      <c r="AJ187" s="50" t="s">
        <v>317</v>
      </c>
      <c r="AK187" s="53" t="s">
        <v>317</v>
      </c>
      <c r="AM187" s="43" t="s">
        <v>874</v>
      </c>
    </row>
    <row r="188" spans="1:39" s="7" customFormat="1" x14ac:dyDescent="0.25">
      <c r="A188" s="7" t="str">
        <f>+MID(Tabla1[[#This Row],[N° Decreto
Expansión]],1,4)</f>
        <v>2019</v>
      </c>
      <c r="B188" s="7" t="str">
        <f>+RIGHT(Tabla1[[#This Row],[N° Decreto
Expansión]],3)</f>
        <v>198</v>
      </c>
      <c r="C188" s="32" t="s">
        <v>792</v>
      </c>
      <c r="D188" s="7" t="s">
        <v>307</v>
      </c>
      <c r="E188" s="7" t="s">
        <v>17</v>
      </c>
      <c r="F188" s="7" t="s">
        <v>308</v>
      </c>
      <c r="G188" s="45" t="s">
        <v>309</v>
      </c>
      <c r="H188" s="7" t="s">
        <v>310</v>
      </c>
      <c r="I188" s="7" t="s">
        <v>793</v>
      </c>
      <c r="J188" s="7">
        <v>1</v>
      </c>
      <c r="K188" s="33" t="s">
        <v>584</v>
      </c>
      <c r="L188" s="7" t="s">
        <v>408</v>
      </c>
      <c r="M188" s="7" t="s">
        <v>408</v>
      </c>
      <c r="N188" s="7" t="s">
        <v>875</v>
      </c>
      <c r="O188" s="7" t="s">
        <v>795</v>
      </c>
      <c r="P188" s="7" t="s">
        <v>793</v>
      </c>
      <c r="Q188" s="34">
        <v>44022</v>
      </c>
      <c r="R188" s="33" t="s">
        <v>317</v>
      </c>
      <c r="S188" s="33" t="s">
        <v>317</v>
      </c>
      <c r="T188" s="36">
        <v>3.9584389999999998</v>
      </c>
      <c r="U188" s="60">
        <v>24</v>
      </c>
      <c r="V188" s="37">
        <v>4160248.3690385884</v>
      </c>
      <c r="W188" s="37">
        <f>Tabla1[[#This Row],[V.I. Adj]]/1000000</f>
        <v>4.1602483690385883</v>
      </c>
      <c r="X188" s="48" t="s">
        <v>317</v>
      </c>
      <c r="Y188" s="48" t="s">
        <v>317</v>
      </c>
      <c r="Z188" s="48" t="s">
        <v>317</v>
      </c>
      <c r="AA188" s="48" t="s">
        <v>317</v>
      </c>
      <c r="AB188" s="48" t="s">
        <v>317</v>
      </c>
      <c r="AC188" s="7" t="s">
        <v>27</v>
      </c>
      <c r="AD188" s="7" t="s">
        <v>873</v>
      </c>
      <c r="AE188" s="7" t="s">
        <v>317</v>
      </c>
      <c r="AF188" s="7" t="s">
        <v>876</v>
      </c>
      <c r="AG188" s="40" t="s">
        <v>319</v>
      </c>
      <c r="AH188" s="41">
        <v>43614</v>
      </c>
      <c r="AI188" s="41">
        <v>43687</v>
      </c>
      <c r="AJ188" s="50" t="s">
        <v>317</v>
      </c>
      <c r="AK188" s="53" t="s">
        <v>317</v>
      </c>
      <c r="AM188" s="43" t="s">
        <v>876</v>
      </c>
    </row>
    <row r="189" spans="1:39" s="7" customFormat="1" x14ac:dyDescent="0.25">
      <c r="A189" s="7" t="str">
        <f>+MID(Tabla1[[#This Row],[N° Decreto
Expansión]],1,4)</f>
        <v>2019</v>
      </c>
      <c r="B189" s="7" t="str">
        <f>+RIGHT(Tabla1[[#This Row],[N° Decreto
Expansión]],3)</f>
        <v>198</v>
      </c>
      <c r="C189" s="32" t="s">
        <v>792</v>
      </c>
      <c r="D189" s="7" t="s">
        <v>307</v>
      </c>
      <c r="E189" s="7" t="s">
        <v>17</v>
      </c>
      <c r="F189" s="7" t="s">
        <v>308</v>
      </c>
      <c r="G189" s="45" t="s">
        <v>309</v>
      </c>
      <c r="H189" s="7" t="s">
        <v>310</v>
      </c>
      <c r="I189" s="7" t="s">
        <v>793</v>
      </c>
      <c r="J189" s="7">
        <v>1</v>
      </c>
      <c r="K189" s="33" t="s">
        <v>312</v>
      </c>
      <c r="L189" s="7" t="s">
        <v>408</v>
      </c>
      <c r="M189" s="7" t="s">
        <v>408</v>
      </c>
      <c r="N189" s="7" t="s">
        <v>877</v>
      </c>
      <c r="O189" s="7" t="s">
        <v>820</v>
      </c>
      <c r="P189" s="7" t="s">
        <v>793</v>
      </c>
      <c r="Q189" s="34">
        <v>44022</v>
      </c>
      <c r="R189" s="33" t="s">
        <v>317</v>
      </c>
      <c r="S189" s="33" t="s">
        <v>317</v>
      </c>
      <c r="T189" s="36">
        <v>1.075275</v>
      </c>
      <c r="U189" s="60">
        <v>24</v>
      </c>
      <c r="V189" s="37">
        <v>1506983.3624702443</v>
      </c>
      <c r="W189" s="37">
        <f>Tabla1[[#This Row],[V.I. Adj]]/1000000</f>
        <v>1.5069833624702442</v>
      </c>
      <c r="X189" s="48" t="s">
        <v>317</v>
      </c>
      <c r="Y189" s="48" t="s">
        <v>317</v>
      </c>
      <c r="Z189" s="48" t="s">
        <v>317</v>
      </c>
      <c r="AA189" s="48" t="s">
        <v>317</v>
      </c>
      <c r="AB189" s="48" t="s">
        <v>317</v>
      </c>
      <c r="AC189" s="7" t="s">
        <v>27</v>
      </c>
      <c r="AD189" s="7" t="s">
        <v>878</v>
      </c>
      <c r="AE189" s="7" t="s">
        <v>317</v>
      </c>
      <c r="AF189" s="7" t="s">
        <v>879</v>
      </c>
      <c r="AG189" s="40" t="s">
        <v>319</v>
      </c>
      <c r="AH189" s="41">
        <v>43614</v>
      </c>
      <c r="AI189" s="41">
        <v>43687</v>
      </c>
      <c r="AJ189" s="50" t="s">
        <v>317</v>
      </c>
      <c r="AK189" s="53" t="s">
        <v>317</v>
      </c>
      <c r="AM189" s="43" t="s">
        <v>879</v>
      </c>
    </row>
    <row r="190" spans="1:39" s="7" customFormat="1" x14ac:dyDescent="0.25">
      <c r="A190" s="7" t="str">
        <f>+MID(Tabla1[[#This Row],[N° Decreto
Expansión]],1,4)</f>
        <v>2019</v>
      </c>
      <c r="B190" s="7" t="str">
        <f>+RIGHT(Tabla1[[#This Row],[N° Decreto
Expansión]],3)</f>
        <v>198</v>
      </c>
      <c r="C190" s="32" t="s">
        <v>792</v>
      </c>
      <c r="D190" s="7" t="s">
        <v>307</v>
      </c>
      <c r="E190" s="7" t="s">
        <v>17</v>
      </c>
      <c r="F190" s="7" t="s">
        <v>308</v>
      </c>
      <c r="G190" s="45" t="s">
        <v>309</v>
      </c>
      <c r="H190" s="7" t="s">
        <v>310</v>
      </c>
      <c r="I190" s="7" t="s">
        <v>793</v>
      </c>
      <c r="J190" s="7">
        <v>1</v>
      </c>
      <c r="K190" s="33" t="s">
        <v>584</v>
      </c>
      <c r="L190" s="7" t="s">
        <v>408</v>
      </c>
      <c r="M190" s="7" t="s">
        <v>408</v>
      </c>
      <c r="N190" s="7" t="s">
        <v>880</v>
      </c>
      <c r="O190" s="7" t="s">
        <v>820</v>
      </c>
      <c r="P190" s="7" t="s">
        <v>793</v>
      </c>
      <c r="Q190" s="34">
        <v>44022</v>
      </c>
      <c r="R190" s="33" t="s">
        <v>317</v>
      </c>
      <c r="S190" s="33" t="s">
        <v>317</v>
      </c>
      <c r="T190" s="36">
        <v>5.1479309999999998</v>
      </c>
      <c r="U190" s="60">
        <v>24</v>
      </c>
      <c r="V190" s="37">
        <v>7214755.6375297559</v>
      </c>
      <c r="W190" s="37">
        <f>Tabla1[[#This Row],[V.I. Adj]]/1000000</f>
        <v>7.2147556375297563</v>
      </c>
      <c r="X190" s="48" t="s">
        <v>317</v>
      </c>
      <c r="Y190" s="48" t="s">
        <v>317</v>
      </c>
      <c r="Z190" s="48" t="s">
        <v>317</v>
      </c>
      <c r="AA190" s="48" t="s">
        <v>317</v>
      </c>
      <c r="AB190" s="48" t="s">
        <v>317</v>
      </c>
      <c r="AC190" s="7" t="s">
        <v>27</v>
      </c>
      <c r="AD190" s="7" t="s">
        <v>878</v>
      </c>
      <c r="AE190" s="7" t="s">
        <v>317</v>
      </c>
      <c r="AF190" s="7" t="s">
        <v>881</v>
      </c>
      <c r="AG190" s="40" t="s">
        <v>319</v>
      </c>
      <c r="AH190" s="41">
        <v>43614</v>
      </c>
      <c r="AI190" s="41">
        <v>43687</v>
      </c>
      <c r="AJ190" s="50" t="s">
        <v>317</v>
      </c>
      <c r="AK190" s="53" t="s">
        <v>317</v>
      </c>
      <c r="AM190" s="43" t="s">
        <v>881</v>
      </c>
    </row>
    <row r="191" spans="1:39" s="7" customFormat="1" x14ac:dyDescent="0.25">
      <c r="A191" s="7" t="str">
        <f>+MID(Tabla1[[#This Row],[N° Decreto
Expansión]],1,4)</f>
        <v>2019</v>
      </c>
      <c r="B191" s="7" t="str">
        <f>+RIGHT(Tabla1[[#This Row],[N° Decreto
Expansión]],3)</f>
        <v>198</v>
      </c>
      <c r="C191" s="32" t="s">
        <v>792</v>
      </c>
      <c r="D191" s="7" t="s">
        <v>307</v>
      </c>
      <c r="E191" s="7" t="s">
        <v>17</v>
      </c>
      <c r="F191" s="7" t="s">
        <v>308</v>
      </c>
      <c r="G191" s="45" t="s">
        <v>309</v>
      </c>
      <c r="H191" s="7" t="s">
        <v>390</v>
      </c>
      <c r="I191" s="7" t="s">
        <v>793</v>
      </c>
      <c r="J191" s="7">
        <v>1</v>
      </c>
      <c r="K191" s="33" t="s">
        <v>33</v>
      </c>
      <c r="L191" s="7" t="s">
        <v>408</v>
      </c>
      <c r="M191" s="7" t="s">
        <v>408</v>
      </c>
      <c r="N191" s="7" t="s">
        <v>882</v>
      </c>
      <c r="O191" s="7" t="s">
        <v>361</v>
      </c>
      <c r="P191" s="7" t="s">
        <v>319</v>
      </c>
      <c r="Q191" s="33" t="s">
        <v>317</v>
      </c>
      <c r="R191" s="33" t="s">
        <v>317</v>
      </c>
      <c r="S191" s="33" t="s">
        <v>317</v>
      </c>
      <c r="T191" s="36">
        <v>5.59</v>
      </c>
      <c r="U191" s="60">
        <v>24</v>
      </c>
      <c r="V191" s="46" t="s">
        <v>319</v>
      </c>
      <c r="W191" s="51" t="s">
        <v>319</v>
      </c>
      <c r="X191" s="48" t="s">
        <v>317</v>
      </c>
      <c r="Y191" s="48" t="s">
        <v>317</v>
      </c>
      <c r="Z191" s="48" t="s">
        <v>317</v>
      </c>
      <c r="AA191" s="48" t="s">
        <v>317</v>
      </c>
      <c r="AB191" s="48" t="s">
        <v>317</v>
      </c>
      <c r="AC191" s="7" t="s">
        <v>34</v>
      </c>
      <c r="AD191" s="7" t="s">
        <v>883</v>
      </c>
      <c r="AE191" s="7" t="s">
        <v>317</v>
      </c>
      <c r="AF191" s="7" t="s">
        <v>884</v>
      </c>
      <c r="AG191" s="40" t="s">
        <v>319</v>
      </c>
      <c r="AH191" s="41">
        <v>43614</v>
      </c>
      <c r="AI191" s="41">
        <v>43687</v>
      </c>
      <c r="AJ191" s="50" t="s">
        <v>317</v>
      </c>
      <c r="AK191" s="53" t="s">
        <v>317</v>
      </c>
      <c r="AM191" s="43" t="s">
        <v>884</v>
      </c>
    </row>
    <row r="192" spans="1:39" s="7" customFormat="1" x14ac:dyDescent="0.25">
      <c r="A192" s="7" t="str">
        <f>+MID(Tabla1[[#This Row],[N° Decreto
Expansión]],1,4)</f>
        <v>2019</v>
      </c>
      <c r="B192" s="7" t="str">
        <f>+RIGHT(Tabla1[[#This Row],[N° Decreto
Expansión]],3)</f>
        <v>198</v>
      </c>
      <c r="C192" s="32" t="s">
        <v>792</v>
      </c>
      <c r="D192" s="7" t="s">
        <v>307</v>
      </c>
      <c r="E192" s="7" t="s">
        <v>17</v>
      </c>
      <c r="F192" s="7" t="s">
        <v>308</v>
      </c>
      <c r="G192" s="45" t="s">
        <v>309</v>
      </c>
      <c r="H192" s="7" t="s">
        <v>390</v>
      </c>
      <c r="I192" s="7" t="s">
        <v>793</v>
      </c>
      <c r="J192" s="7">
        <v>1</v>
      </c>
      <c r="K192" s="33" t="s">
        <v>584</v>
      </c>
      <c r="L192" s="7" t="s">
        <v>408</v>
      </c>
      <c r="M192" s="7" t="s">
        <v>408</v>
      </c>
      <c r="N192" s="7" t="s">
        <v>885</v>
      </c>
      <c r="O192" s="7" t="s">
        <v>361</v>
      </c>
      <c r="P192" s="7" t="s">
        <v>319</v>
      </c>
      <c r="Q192" s="33" t="s">
        <v>317</v>
      </c>
      <c r="R192" s="33" t="s">
        <v>317</v>
      </c>
      <c r="S192" s="33" t="s">
        <v>317</v>
      </c>
      <c r="T192" s="36">
        <v>1.4</v>
      </c>
      <c r="U192" s="60">
        <v>24</v>
      </c>
      <c r="V192" s="46" t="s">
        <v>319</v>
      </c>
      <c r="W192" s="51" t="s">
        <v>319</v>
      </c>
      <c r="X192" s="48" t="s">
        <v>317</v>
      </c>
      <c r="Y192" s="48" t="s">
        <v>317</v>
      </c>
      <c r="Z192" s="48" t="s">
        <v>317</v>
      </c>
      <c r="AA192" s="48" t="s">
        <v>317</v>
      </c>
      <c r="AB192" s="48" t="s">
        <v>317</v>
      </c>
      <c r="AC192" s="7" t="s">
        <v>34</v>
      </c>
      <c r="AD192" s="7" t="s">
        <v>883</v>
      </c>
      <c r="AE192" s="7" t="s">
        <v>886</v>
      </c>
      <c r="AF192" s="7" t="s">
        <v>887</v>
      </c>
      <c r="AG192" s="40" t="s">
        <v>319</v>
      </c>
      <c r="AH192" s="41">
        <v>43614</v>
      </c>
      <c r="AI192" s="41">
        <v>43687</v>
      </c>
      <c r="AJ192" s="50" t="s">
        <v>317</v>
      </c>
      <c r="AK192" s="53" t="s">
        <v>317</v>
      </c>
      <c r="AM192" s="43" t="s">
        <v>887</v>
      </c>
    </row>
    <row r="193" spans="1:39" s="7" customFormat="1" x14ac:dyDescent="0.25">
      <c r="A193" s="7" t="str">
        <f>+MID(Tabla1[[#This Row],[N° Decreto
Expansión]],1,4)</f>
        <v>2019</v>
      </c>
      <c r="B193" s="7" t="str">
        <f>+RIGHT(Tabla1[[#This Row],[N° Decreto
Expansión]],3)</f>
        <v>198</v>
      </c>
      <c r="C193" s="32" t="s">
        <v>792</v>
      </c>
      <c r="D193" s="7" t="s">
        <v>307</v>
      </c>
      <c r="E193" s="7" t="s">
        <v>17</v>
      </c>
      <c r="F193" s="7" t="s">
        <v>308</v>
      </c>
      <c r="G193" s="45" t="s">
        <v>309</v>
      </c>
      <c r="H193" s="7" t="s">
        <v>390</v>
      </c>
      <c r="I193" s="7" t="s">
        <v>793</v>
      </c>
      <c r="J193" s="7">
        <v>1</v>
      </c>
      <c r="K193" s="33" t="s">
        <v>312</v>
      </c>
      <c r="L193" s="7" t="s">
        <v>408</v>
      </c>
      <c r="M193" s="7" t="s">
        <v>408</v>
      </c>
      <c r="N193" s="7" t="s">
        <v>888</v>
      </c>
      <c r="O193" s="7" t="s">
        <v>361</v>
      </c>
      <c r="P193" s="7" t="s">
        <v>319</v>
      </c>
      <c r="Q193" s="33" t="s">
        <v>317</v>
      </c>
      <c r="R193" s="33" t="s">
        <v>317</v>
      </c>
      <c r="S193" s="33" t="s">
        <v>317</v>
      </c>
      <c r="T193" s="36">
        <v>0.45409699999999997</v>
      </c>
      <c r="U193" s="60">
        <v>24</v>
      </c>
      <c r="V193" s="46" t="s">
        <v>319</v>
      </c>
      <c r="W193" s="51" t="s">
        <v>319</v>
      </c>
      <c r="X193" s="48" t="s">
        <v>317</v>
      </c>
      <c r="Y193" s="48" t="s">
        <v>317</v>
      </c>
      <c r="Z193" s="48" t="s">
        <v>317</v>
      </c>
      <c r="AA193" s="48" t="s">
        <v>317</v>
      </c>
      <c r="AB193" s="48" t="s">
        <v>317</v>
      </c>
      <c r="AC193" s="7" t="s">
        <v>27</v>
      </c>
      <c r="AD193" s="7" t="s">
        <v>883</v>
      </c>
      <c r="AE193" s="7" t="s">
        <v>886</v>
      </c>
      <c r="AF193" s="7" t="s">
        <v>889</v>
      </c>
      <c r="AG193" s="40" t="s">
        <v>319</v>
      </c>
      <c r="AH193" s="41">
        <v>43614</v>
      </c>
      <c r="AI193" s="41">
        <v>43687</v>
      </c>
      <c r="AJ193" s="50" t="s">
        <v>317</v>
      </c>
      <c r="AK193" s="53" t="s">
        <v>317</v>
      </c>
      <c r="AM193" s="43" t="s">
        <v>889</v>
      </c>
    </row>
    <row r="194" spans="1:39" s="7" customFormat="1" x14ac:dyDescent="0.25">
      <c r="A194" s="7" t="str">
        <f>+MID(Tabla1[[#This Row],[N° Decreto
Expansión]],1,4)</f>
        <v>2019</v>
      </c>
      <c r="B194" s="7" t="str">
        <f>+RIGHT(Tabla1[[#This Row],[N° Decreto
Expansión]],3)</f>
        <v>198</v>
      </c>
      <c r="C194" s="32" t="s">
        <v>792</v>
      </c>
      <c r="D194" s="7" t="s">
        <v>307</v>
      </c>
      <c r="E194" s="7" t="s">
        <v>17</v>
      </c>
      <c r="F194" s="7" t="s">
        <v>308</v>
      </c>
      <c r="G194" s="45" t="s">
        <v>309</v>
      </c>
      <c r="H194" s="7" t="s">
        <v>390</v>
      </c>
      <c r="I194" s="7" t="s">
        <v>793</v>
      </c>
      <c r="J194" s="7">
        <v>1</v>
      </c>
      <c r="K194" s="33" t="s">
        <v>33</v>
      </c>
      <c r="L194" s="7" t="s">
        <v>408</v>
      </c>
      <c r="M194" s="7" t="s">
        <v>408</v>
      </c>
      <c r="N194" s="7" t="s">
        <v>890</v>
      </c>
      <c r="O194" s="7" t="s">
        <v>361</v>
      </c>
      <c r="P194" s="7" t="s">
        <v>319</v>
      </c>
      <c r="Q194" s="33" t="s">
        <v>317</v>
      </c>
      <c r="R194" s="33" t="s">
        <v>317</v>
      </c>
      <c r="S194" s="33" t="s">
        <v>317</v>
      </c>
      <c r="T194" s="36">
        <v>1.0092460000000001</v>
      </c>
      <c r="U194" s="60">
        <v>24</v>
      </c>
      <c r="V194" s="46" t="s">
        <v>319</v>
      </c>
      <c r="W194" s="51" t="s">
        <v>319</v>
      </c>
      <c r="X194" s="48" t="s">
        <v>317</v>
      </c>
      <c r="Y194" s="48" t="s">
        <v>317</v>
      </c>
      <c r="Z194" s="48" t="s">
        <v>317</v>
      </c>
      <c r="AA194" s="48" t="s">
        <v>317</v>
      </c>
      <c r="AB194" s="48" t="s">
        <v>317</v>
      </c>
      <c r="AC194" s="7" t="s">
        <v>509</v>
      </c>
      <c r="AD194" s="7" t="s">
        <v>883</v>
      </c>
      <c r="AE194" s="7" t="s">
        <v>886</v>
      </c>
      <c r="AF194" s="7" t="s">
        <v>891</v>
      </c>
      <c r="AG194" s="40" t="s">
        <v>319</v>
      </c>
      <c r="AH194" s="41">
        <v>43614</v>
      </c>
      <c r="AI194" s="41">
        <v>43687</v>
      </c>
      <c r="AJ194" s="50" t="s">
        <v>317</v>
      </c>
      <c r="AK194" s="53" t="s">
        <v>317</v>
      </c>
      <c r="AM194" s="43" t="s">
        <v>891</v>
      </c>
    </row>
    <row r="195" spans="1:39" s="7" customFormat="1" x14ac:dyDescent="0.25">
      <c r="A195" s="7" t="str">
        <f>+MID(Tabla1[[#This Row],[N° Decreto
Expansión]],1,4)</f>
        <v>2019</v>
      </c>
      <c r="B195" s="7" t="str">
        <f>+RIGHT(Tabla1[[#This Row],[N° Decreto
Expansión]],3)</f>
        <v>198</v>
      </c>
      <c r="C195" s="32" t="s">
        <v>792</v>
      </c>
      <c r="D195" s="7" t="s">
        <v>307</v>
      </c>
      <c r="E195" s="7" t="s">
        <v>17</v>
      </c>
      <c r="F195" s="7" t="s">
        <v>308</v>
      </c>
      <c r="G195" s="45" t="s">
        <v>309</v>
      </c>
      <c r="H195" s="7" t="s">
        <v>310</v>
      </c>
      <c r="I195" s="7" t="s">
        <v>793</v>
      </c>
      <c r="J195" s="7">
        <v>1</v>
      </c>
      <c r="K195" s="33" t="s">
        <v>33</v>
      </c>
      <c r="L195" s="7" t="s">
        <v>432</v>
      </c>
      <c r="M195" s="7" t="s">
        <v>432</v>
      </c>
      <c r="N195" s="7" t="s">
        <v>892</v>
      </c>
      <c r="O195" s="7" t="s">
        <v>606</v>
      </c>
      <c r="P195" s="7" t="s">
        <v>793</v>
      </c>
      <c r="Q195" s="34">
        <v>44022</v>
      </c>
      <c r="R195" s="33" t="s">
        <v>317</v>
      </c>
      <c r="S195" s="33" t="s">
        <v>317</v>
      </c>
      <c r="T195" s="36">
        <v>0.89265799999999995</v>
      </c>
      <c r="U195" s="60">
        <v>24</v>
      </c>
      <c r="V195" s="37">
        <v>2211571.9774765051</v>
      </c>
      <c r="W195" s="37">
        <f>Tabla1[[#This Row],[V.I. Adj]]/1000000</f>
        <v>2.2115719774765052</v>
      </c>
      <c r="X195" s="48" t="s">
        <v>317</v>
      </c>
      <c r="Y195" s="48" t="s">
        <v>317</v>
      </c>
      <c r="Z195" s="48" t="s">
        <v>317</v>
      </c>
      <c r="AA195" s="48" t="s">
        <v>317</v>
      </c>
      <c r="AB195" s="48" t="s">
        <v>317</v>
      </c>
      <c r="AC195" s="7" t="s">
        <v>27</v>
      </c>
      <c r="AD195" s="7" t="s">
        <v>893</v>
      </c>
      <c r="AE195" s="7" t="s">
        <v>894</v>
      </c>
      <c r="AF195" s="7" t="s">
        <v>895</v>
      </c>
      <c r="AG195" s="40" t="s">
        <v>319</v>
      </c>
      <c r="AH195" s="41">
        <v>43614</v>
      </c>
      <c r="AI195" s="41">
        <v>43687</v>
      </c>
      <c r="AJ195" s="50" t="s">
        <v>317</v>
      </c>
      <c r="AK195" s="53" t="s">
        <v>317</v>
      </c>
      <c r="AM195" s="43" t="s">
        <v>895</v>
      </c>
    </row>
    <row r="196" spans="1:39" s="7" customFormat="1" x14ac:dyDescent="0.25">
      <c r="A196" s="7" t="str">
        <f>+MID(Tabla1[[#This Row],[N° Decreto
Expansión]],1,4)</f>
        <v>2019</v>
      </c>
      <c r="B196" s="7" t="str">
        <f>+RIGHT(Tabla1[[#This Row],[N° Decreto
Expansión]],3)</f>
        <v>198</v>
      </c>
      <c r="C196" s="32" t="s">
        <v>792</v>
      </c>
      <c r="D196" s="7" t="s">
        <v>307</v>
      </c>
      <c r="E196" s="7" t="s">
        <v>17</v>
      </c>
      <c r="F196" s="7" t="s">
        <v>308</v>
      </c>
      <c r="G196" s="45" t="s">
        <v>309</v>
      </c>
      <c r="H196" s="7" t="s">
        <v>310</v>
      </c>
      <c r="I196" s="7" t="s">
        <v>793</v>
      </c>
      <c r="J196" s="7">
        <v>1</v>
      </c>
      <c r="K196" s="33" t="s">
        <v>33</v>
      </c>
      <c r="L196" s="52" t="s">
        <v>432</v>
      </c>
      <c r="M196" s="7" t="s">
        <v>447</v>
      </c>
      <c r="N196" s="7" t="s">
        <v>896</v>
      </c>
      <c r="O196" s="7" t="s">
        <v>606</v>
      </c>
      <c r="P196" s="7" t="s">
        <v>793</v>
      </c>
      <c r="Q196" s="34">
        <v>44022</v>
      </c>
      <c r="R196" s="33" t="s">
        <v>317</v>
      </c>
      <c r="S196" s="33" t="s">
        <v>317</v>
      </c>
      <c r="T196" s="36">
        <v>6.3939089999999998</v>
      </c>
      <c r="U196" s="60">
        <v>36</v>
      </c>
      <c r="V196" s="37">
        <v>15840993.942735987</v>
      </c>
      <c r="W196" s="37">
        <f>Tabla1[[#This Row],[V.I. Adj]]/1000000</f>
        <v>15.840993942735986</v>
      </c>
      <c r="X196" s="48" t="s">
        <v>317</v>
      </c>
      <c r="Y196" s="48" t="s">
        <v>317</v>
      </c>
      <c r="Z196" s="48" t="s">
        <v>317</v>
      </c>
      <c r="AA196" s="48" t="s">
        <v>317</v>
      </c>
      <c r="AB196" s="48" t="s">
        <v>317</v>
      </c>
      <c r="AC196" s="7" t="s">
        <v>27</v>
      </c>
      <c r="AD196" s="7" t="s">
        <v>893</v>
      </c>
      <c r="AE196" s="7" t="s">
        <v>894</v>
      </c>
      <c r="AF196" s="7" t="s">
        <v>897</v>
      </c>
      <c r="AG196" s="40" t="s">
        <v>319</v>
      </c>
      <c r="AH196" s="41">
        <v>43614</v>
      </c>
      <c r="AI196" s="41">
        <v>43687</v>
      </c>
      <c r="AJ196" s="50" t="s">
        <v>317</v>
      </c>
      <c r="AK196" s="53" t="s">
        <v>317</v>
      </c>
      <c r="AM196" s="43" t="s">
        <v>897</v>
      </c>
    </row>
    <row r="197" spans="1:39" s="7" customFormat="1" x14ac:dyDescent="0.25">
      <c r="A197" s="7" t="str">
        <f>+MID(Tabla1[[#This Row],[N° Decreto
Expansión]],1,4)</f>
        <v>2019</v>
      </c>
      <c r="B197" s="7" t="str">
        <f>+RIGHT(Tabla1[[#This Row],[N° Decreto
Expansión]],3)</f>
        <v>198</v>
      </c>
      <c r="C197" s="32" t="s">
        <v>792</v>
      </c>
      <c r="D197" s="7" t="s">
        <v>307</v>
      </c>
      <c r="E197" s="7" t="s">
        <v>17</v>
      </c>
      <c r="F197" s="7" t="s">
        <v>308</v>
      </c>
      <c r="G197" s="45" t="s">
        <v>309</v>
      </c>
      <c r="H197" s="7" t="s">
        <v>310</v>
      </c>
      <c r="I197" s="7" t="s">
        <v>793</v>
      </c>
      <c r="J197" s="7">
        <v>1</v>
      </c>
      <c r="K197" s="33" t="s">
        <v>312</v>
      </c>
      <c r="L197" s="7" t="s">
        <v>443</v>
      </c>
      <c r="M197" s="7" t="s">
        <v>443</v>
      </c>
      <c r="N197" s="7" t="s">
        <v>898</v>
      </c>
      <c r="O197" s="7" t="s">
        <v>606</v>
      </c>
      <c r="P197" s="7" t="s">
        <v>793</v>
      </c>
      <c r="Q197" s="34">
        <v>44022</v>
      </c>
      <c r="R197" s="33" t="s">
        <v>317</v>
      </c>
      <c r="S197" s="33" t="s">
        <v>317</v>
      </c>
      <c r="T197" s="36">
        <v>2.7266400000000002</v>
      </c>
      <c r="U197" s="60">
        <v>24</v>
      </c>
      <c r="V197" s="37">
        <v>6755286.5897875074</v>
      </c>
      <c r="W197" s="37">
        <f>Tabla1[[#This Row],[V.I. Adj]]/1000000</f>
        <v>6.7552865897875076</v>
      </c>
      <c r="X197" s="48" t="s">
        <v>317</v>
      </c>
      <c r="Y197" s="48" t="s">
        <v>317</v>
      </c>
      <c r="Z197" s="48" t="s">
        <v>317</v>
      </c>
      <c r="AA197" s="48" t="s">
        <v>317</v>
      </c>
      <c r="AB197" s="48" t="s">
        <v>317</v>
      </c>
      <c r="AC197" s="7" t="s">
        <v>34</v>
      </c>
      <c r="AD197" s="7" t="s">
        <v>893</v>
      </c>
      <c r="AE197" s="7" t="s">
        <v>317</v>
      </c>
      <c r="AF197" s="7" t="s">
        <v>899</v>
      </c>
      <c r="AG197" s="40" t="s">
        <v>319</v>
      </c>
      <c r="AH197" s="41">
        <v>43614</v>
      </c>
      <c r="AI197" s="41">
        <v>43687</v>
      </c>
      <c r="AJ197" s="50" t="s">
        <v>317</v>
      </c>
      <c r="AK197" s="53" t="s">
        <v>317</v>
      </c>
      <c r="AM197" s="43" t="s">
        <v>899</v>
      </c>
    </row>
    <row r="198" spans="1:39" s="7" customFormat="1" x14ac:dyDescent="0.25">
      <c r="A198" s="7" t="str">
        <f>+MID(Tabla1[[#This Row],[N° Decreto
Expansión]],1,4)</f>
        <v>2019</v>
      </c>
      <c r="B198" s="7" t="str">
        <f>+RIGHT(Tabla1[[#This Row],[N° Decreto
Expansión]],3)</f>
        <v>198</v>
      </c>
      <c r="C198" s="32" t="s">
        <v>792</v>
      </c>
      <c r="D198" s="7" t="s">
        <v>307</v>
      </c>
      <c r="E198" s="7" t="s">
        <v>17</v>
      </c>
      <c r="F198" s="7" t="s">
        <v>308</v>
      </c>
      <c r="G198" s="45" t="s">
        <v>309</v>
      </c>
      <c r="H198" s="7" t="s">
        <v>310</v>
      </c>
      <c r="I198" s="7" t="s">
        <v>793</v>
      </c>
      <c r="J198" s="7">
        <v>1</v>
      </c>
      <c r="K198" s="33" t="s">
        <v>584</v>
      </c>
      <c r="L198" s="7" t="s">
        <v>443</v>
      </c>
      <c r="M198" s="7" t="s">
        <v>443</v>
      </c>
      <c r="N198" s="7" t="s">
        <v>900</v>
      </c>
      <c r="O198" s="7" t="s">
        <v>795</v>
      </c>
      <c r="P198" s="7" t="s">
        <v>793</v>
      </c>
      <c r="Q198" s="34">
        <v>44022</v>
      </c>
      <c r="R198" s="33" t="s">
        <v>317</v>
      </c>
      <c r="S198" s="33" t="s">
        <v>317</v>
      </c>
      <c r="T198" s="36">
        <v>1.76051</v>
      </c>
      <c r="U198" s="60">
        <v>24</v>
      </c>
      <c r="V198" s="37">
        <v>2334620.3218518207</v>
      </c>
      <c r="W198" s="37">
        <f>Tabla1[[#This Row],[V.I. Adj]]/1000000</f>
        <v>2.3346203218518209</v>
      </c>
      <c r="X198" s="48" t="s">
        <v>317</v>
      </c>
      <c r="Y198" s="48" t="s">
        <v>317</v>
      </c>
      <c r="Z198" s="48" t="s">
        <v>317</v>
      </c>
      <c r="AA198" s="48" t="s">
        <v>317</v>
      </c>
      <c r="AB198" s="48" t="s">
        <v>317</v>
      </c>
      <c r="AC198" s="7" t="s">
        <v>27</v>
      </c>
      <c r="AD198" s="7" t="s">
        <v>901</v>
      </c>
      <c r="AE198" s="7" t="s">
        <v>317</v>
      </c>
      <c r="AF198" s="7" t="s">
        <v>902</v>
      </c>
      <c r="AG198" s="40" t="s">
        <v>319</v>
      </c>
      <c r="AH198" s="41">
        <v>43614</v>
      </c>
      <c r="AI198" s="41">
        <v>43687</v>
      </c>
      <c r="AJ198" s="50" t="s">
        <v>317</v>
      </c>
      <c r="AK198" s="53" t="s">
        <v>317</v>
      </c>
      <c r="AM198" s="43" t="s">
        <v>902</v>
      </c>
    </row>
    <row r="199" spans="1:39" s="7" customFormat="1" x14ac:dyDescent="0.25">
      <c r="A199" s="7" t="str">
        <f>+MID(Tabla1[[#This Row],[N° Decreto
Expansión]],1,4)</f>
        <v>2019</v>
      </c>
      <c r="B199" s="7" t="str">
        <f>+RIGHT(Tabla1[[#This Row],[N° Decreto
Expansión]],3)</f>
        <v>198</v>
      </c>
      <c r="C199" s="32" t="s">
        <v>792</v>
      </c>
      <c r="D199" s="7" t="s">
        <v>307</v>
      </c>
      <c r="E199" s="7" t="s">
        <v>17</v>
      </c>
      <c r="F199" s="7" t="s">
        <v>308</v>
      </c>
      <c r="G199" s="45" t="s">
        <v>309</v>
      </c>
      <c r="H199" s="7" t="s">
        <v>310</v>
      </c>
      <c r="I199" s="7" t="s">
        <v>793</v>
      </c>
      <c r="J199" s="7">
        <v>1</v>
      </c>
      <c r="K199" s="33" t="s">
        <v>312</v>
      </c>
      <c r="L199" s="7" t="s">
        <v>443</v>
      </c>
      <c r="M199" s="7" t="s">
        <v>443</v>
      </c>
      <c r="N199" s="7" t="s">
        <v>903</v>
      </c>
      <c r="O199" s="7" t="s">
        <v>795</v>
      </c>
      <c r="P199" s="7" t="s">
        <v>793</v>
      </c>
      <c r="Q199" s="34">
        <v>44022</v>
      </c>
      <c r="R199" s="33" t="s">
        <v>317</v>
      </c>
      <c r="S199" s="33" t="s">
        <v>317</v>
      </c>
      <c r="T199" s="36">
        <v>2.2848920000000001</v>
      </c>
      <c r="U199" s="60">
        <v>24</v>
      </c>
      <c r="V199" s="37">
        <v>3030005.6781481793</v>
      </c>
      <c r="W199" s="37">
        <f>Tabla1[[#This Row],[V.I. Adj]]/1000000</f>
        <v>3.0300056781481794</v>
      </c>
      <c r="X199" s="48" t="s">
        <v>317</v>
      </c>
      <c r="Y199" s="48" t="s">
        <v>317</v>
      </c>
      <c r="Z199" s="48" t="s">
        <v>317</v>
      </c>
      <c r="AA199" s="48" t="s">
        <v>317</v>
      </c>
      <c r="AB199" s="48" t="s">
        <v>317</v>
      </c>
      <c r="AC199" s="7" t="s">
        <v>27</v>
      </c>
      <c r="AD199" s="7" t="s">
        <v>901</v>
      </c>
      <c r="AE199" s="7" t="s">
        <v>317</v>
      </c>
      <c r="AF199" s="7" t="s">
        <v>904</v>
      </c>
      <c r="AG199" s="40" t="s">
        <v>319</v>
      </c>
      <c r="AH199" s="41">
        <v>43614</v>
      </c>
      <c r="AI199" s="41">
        <v>43687</v>
      </c>
      <c r="AJ199" s="50" t="s">
        <v>317</v>
      </c>
      <c r="AK199" s="53" t="s">
        <v>317</v>
      </c>
      <c r="AM199" s="43" t="s">
        <v>904</v>
      </c>
    </row>
    <row r="200" spans="1:39" s="7" customFormat="1" x14ac:dyDescent="0.25">
      <c r="A200" s="7" t="str">
        <f>+MID(Tabla1[[#This Row],[N° Decreto
Expansión]],1,4)</f>
        <v>2019</v>
      </c>
      <c r="B200" s="7" t="str">
        <f>+RIGHT(Tabla1[[#This Row],[N° Decreto
Expansión]],3)</f>
        <v>198</v>
      </c>
      <c r="C200" s="32" t="s">
        <v>792</v>
      </c>
      <c r="D200" s="7" t="s">
        <v>307</v>
      </c>
      <c r="E200" s="7" t="s">
        <v>17</v>
      </c>
      <c r="F200" s="7" t="s">
        <v>308</v>
      </c>
      <c r="G200" s="45" t="s">
        <v>309</v>
      </c>
      <c r="H200" s="7" t="s">
        <v>310</v>
      </c>
      <c r="I200" s="7" t="s">
        <v>793</v>
      </c>
      <c r="J200" s="7">
        <v>1</v>
      </c>
      <c r="K200" s="33" t="s">
        <v>312</v>
      </c>
      <c r="L200" s="7" t="s">
        <v>443</v>
      </c>
      <c r="M200" s="7" t="s">
        <v>443</v>
      </c>
      <c r="N200" s="7" t="s">
        <v>905</v>
      </c>
      <c r="O200" s="7" t="s">
        <v>445</v>
      </c>
      <c r="P200" s="7" t="s">
        <v>793</v>
      </c>
      <c r="Q200" s="34">
        <v>44022</v>
      </c>
      <c r="R200" s="33" t="s">
        <v>317</v>
      </c>
      <c r="S200" s="33" t="s">
        <v>317</v>
      </c>
      <c r="T200" s="36">
        <v>1.3168169999999999</v>
      </c>
      <c r="U200" s="60">
        <v>24</v>
      </c>
      <c r="V200" s="37">
        <v>1500857.2154490207</v>
      </c>
      <c r="W200" s="37">
        <f>Tabla1[[#This Row],[V.I. Adj]]/1000000</f>
        <v>1.5008572154490207</v>
      </c>
      <c r="X200" s="48" t="s">
        <v>317</v>
      </c>
      <c r="Y200" s="48" t="s">
        <v>317</v>
      </c>
      <c r="Z200" s="48" t="s">
        <v>317</v>
      </c>
      <c r="AA200" s="48" t="s">
        <v>317</v>
      </c>
      <c r="AB200" s="48" t="s">
        <v>317</v>
      </c>
      <c r="AC200" s="7" t="s">
        <v>906</v>
      </c>
      <c r="AD200" s="7" t="s">
        <v>907</v>
      </c>
      <c r="AE200" s="7" t="s">
        <v>317</v>
      </c>
      <c r="AF200" s="7" t="s">
        <v>908</v>
      </c>
      <c r="AG200" s="40" t="s">
        <v>319</v>
      </c>
      <c r="AH200" s="41">
        <v>43614</v>
      </c>
      <c r="AI200" s="41">
        <v>43687</v>
      </c>
      <c r="AJ200" s="50" t="s">
        <v>317</v>
      </c>
      <c r="AK200" s="53" t="s">
        <v>317</v>
      </c>
      <c r="AM200" s="43" t="s">
        <v>908</v>
      </c>
    </row>
    <row r="201" spans="1:39" s="7" customFormat="1" x14ac:dyDescent="0.25">
      <c r="A201" s="7" t="str">
        <f>+MID(Tabla1[[#This Row],[N° Decreto
Expansión]],1,4)</f>
        <v>2019</v>
      </c>
      <c r="B201" s="7" t="str">
        <f>+RIGHT(Tabla1[[#This Row],[N° Decreto
Expansión]],3)</f>
        <v>198</v>
      </c>
      <c r="C201" s="32" t="s">
        <v>792</v>
      </c>
      <c r="D201" s="7" t="s">
        <v>307</v>
      </c>
      <c r="E201" s="7" t="s">
        <v>17</v>
      </c>
      <c r="F201" s="7" t="s">
        <v>308</v>
      </c>
      <c r="G201" s="45" t="s">
        <v>309</v>
      </c>
      <c r="H201" s="7" t="s">
        <v>310</v>
      </c>
      <c r="I201" s="7" t="s">
        <v>793</v>
      </c>
      <c r="J201" s="7">
        <v>1</v>
      </c>
      <c r="K201" s="33" t="s">
        <v>312</v>
      </c>
      <c r="L201" s="7" t="s">
        <v>443</v>
      </c>
      <c r="M201" s="7" t="s">
        <v>443</v>
      </c>
      <c r="N201" s="7" t="s">
        <v>909</v>
      </c>
      <c r="O201" s="7" t="s">
        <v>445</v>
      </c>
      <c r="P201" s="7" t="s">
        <v>793</v>
      </c>
      <c r="Q201" s="34">
        <v>44022</v>
      </c>
      <c r="R201" s="33" t="s">
        <v>317</v>
      </c>
      <c r="S201" s="33" t="s">
        <v>317</v>
      </c>
      <c r="T201" s="36">
        <v>1.2465660000000001</v>
      </c>
      <c r="U201" s="60">
        <v>24</v>
      </c>
      <c r="V201" s="37">
        <v>1420787.8358446346</v>
      </c>
      <c r="W201" s="37">
        <f>Tabla1[[#This Row],[V.I. Adj]]/1000000</f>
        <v>1.4207878358446346</v>
      </c>
      <c r="X201" s="48" t="s">
        <v>317</v>
      </c>
      <c r="Y201" s="48" t="s">
        <v>317</v>
      </c>
      <c r="Z201" s="48" t="s">
        <v>317</v>
      </c>
      <c r="AA201" s="48" t="s">
        <v>317</v>
      </c>
      <c r="AB201" s="48" t="s">
        <v>317</v>
      </c>
      <c r="AC201" s="7" t="s">
        <v>500</v>
      </c>
      <c r="AD201" s="7" t="s">
        <v>907</v>
      </c>
      <c r="AE201" s="7" t="s">
        <v>317</v>
      </c>
      <c r="AF201" s="7" t="s">
        <v>910</v>
      </c>
      <c r="AG201" s="40" t="s">
        <v>319</v>
      </c>
      <c r="AH201" s="41">
        <v>43614</v>
      </c>
      <c r="AI201" s="41">
        <v>43687</v>
      </c>
      <c r="AJ201" s="50" t="s">
        <v>317</v>
      </c>
      <c r="AK201" s="53" t="s">
        <v>317</v>
      </c>
      <c r="AM201" s="43" t="s">
        <v>910</v>
      </c>
    </row>
    <row r="202" spans="1:39" s="7" customFormat="1" x14ac:dyDescent="0.25">
      <c r="A202" s="7" t="str">
        <f>+MID(Tabla1[[#This Row],[N° Decreto
Expansión]],1,4)</f>
        <v>2019</v>
      </c>
      <c r="B202" s="7" t="str">
        <f>+RIGHT(Tabla1[[#This Row],[N° Decreto
Expansión]],3)</f>
        <v>198</v>
      </c>
      <c r="C202" s="32" t="s">
        <v>792</v>
      </c>
      <c r="D202" s="7" t="s">
        <v>307</v>
      </c>
      <c r="E202" s="7" t="s">
        <v>17</v>
      </c>
      <c r="F202" s="7" t="s">
        <v>308</v>
      </c>
      <c r="G202" s="45" t="s">
        <v>309</v>
      </c>
      <c r="H202" s="7" t="s">
        <v>310</v>
      </c>
      <c r="I202" s="7" t="s">
        <v>793</v>
      </c>
      <c r="J202" s="7">
        <v>1</v>
      </c>
      <c r="K202" s="33" t="s">
        <v>312</v>
      </c>
      <c r="L202" s="7" t="s">
        <v>443</v>
      </c>
      <c r="M202" s="7" t="s">
        <v>443</v>
      </c>
      <c r="N202" s="7" t="s">
        <v>711</v>
      </c>
      <c r="O202" s="7" t="s">
        <v>445</v>
      </c>
      <c r="P202" s="7" t="s">
        <v>793</v>
      </c>
      <c r="Q202" s="34">
        <v>44022</v>
      </c>
      <c r="R202" s="33" t="s">
        <v>317</v>
      </c>
      <c r="S202" s="33" t="s">
        <v>317</v>
      </c>
      <c r="T202" s="36">
        <v>2.4658159999999998</v>
      </c>
      <c r="U202" s="60">
        <v>24</v>
      </c>
      <c r="V202" s="37">
        <v>2810441.9487063447</v>
      </c>
      <c r="W202" s="37">
        <f>Tabla1[[#This Row],[V.I. Adj]]/1000000</f>
        <v>2.8104419487063446</v>
      </c>
      <c r="X202" s="48" t="s">
        <v>317</v>
      </c>
      <c r="Y202" s="48" t="s">
        <v>317</v>
      </c>
      <c r="Z202" s="48" t="s">
        <v>317</v>
      </c>
      <c r="AA202" s="48" t="s">
        <v>317</v>
      </c>
      <c r="AB202" s="48" t="s">
        <v>317</v>
      </c>
      <c r="AC202" s="7" t="s">
        <v>906</v>
      </c>
      <c r="AD202" s="7" t="s">
        <v>907</v>
      </c>
      <c r="AE202" s="7" t="s">
        <v>317</v>
      </c>
      <c r="AF202" s="7" t="s">
        <v>911</v>
      </c>
      <c r="AG202" s="40" t="s">
        <v>319</v>
      </c>
      <c r="AH202" s="41">
        <v>43614</v>
      </c>
      <c r="AI202" s="41">
        <v>43687</v>
      </c>
      <c r="AJ202" s="50" t="s">
        <v>317</v>
      </c>
      <c r="AK202" s="53" t="s">
        <v>317</v>
      </c>
      <c r="AM202" s="43" t="s">
        <v>911</v>
      </c>
    </row>
    <row r="203" spans="1:39" s="7" customFormat="1" x14ac:dyDescent="0.25">
      <c r="A203" s="7" t="str">
        <f>+MID(Tabla1[[#This Row],[N° Decreto
Expansión]],1,4)</f>
        <v>2019</v>
      </c>
      <c r="B203" s="7" t="str">
        <f>+RIGHT(Tabla1[[#This Row],[N° Decreto
Expansión]],3)</f>
        <v>198</v>
      </c>
      <c r="C203" s="32" t="s">
        <v>792</v>
      </c>
      <c r="D203" s="7" t="s">
        <v>562</v>
      </c>
      <c r="E203" s="7" t="s">
        <v>17</v>
      </c>
      <c r="F203" s="7" t="s">
        <v>308</v>
      </c>
      <c r="G203" s="45" t="s">
        <v>309</v>
      </c>
      <c r="H203" s="7" t="s">
        <v>310</v>
      </c>
      <c r="I203" s="7" t="s">
        <v>793</v>
      </c>
      <c r="J203" s="7">
        <v>1</v>
      </c>
      <c r="K203" s="33" t="s">
        <v>312</v>
      </c>
      <c r="L203" s="7" t="s">
        <v>475</v>
      </c>
      <c r="M203" s="7" t="s">
        <v>475</v>
      </c>
      <c r="N203" s="7" t="s">
        <v>912</v>
      </c>
      <c r="O203" s="7" t="s">
        <v>795</v>
      </c>
      <c r="P203" s="7" t="s">
        <v>793</v>
      </c>
      <c r="Q203" s="34">
        <v>44022</v>
      </c>
      <c r="R203" s="33" t="s">
        <v>317</v>
      </c>
      <c r="S203" s="33" t="s">
        <v>317</v>
      </c>
      <c r="T203" s="36">
        <v>2.809437</v>
      </c>
      <c r="U203" s="60">
        <v>24</v>
      </c>
      <c r="V203" s="37">
        <v>4320371.4002678441</v>
      </c>
      <c r="W203" s="37">
        <f>Tabla1[[#This Row],[V.I. Adj]]/1000000</f>
        <v>4.3203714002678444</v>
      </c>
      <c r="X203" s="48" t="s">
        <v>317</v>
      </c>
      <c r="Y203" s="48" t="s">
        <v>317</v>
      </c>
      <c r="Z203" s="48" t="s">
        <v>317</v>
      </c>
      <c r="AA203" s="48" t="s">
        <v>317</v>
      </c>
      <c r="AB203" s="48" t="s">
        <v>317</v>
      </c>
      <c r="AC203" s="7" t="s">
        <v>913</v>
      </c>
      <c r="AD203" s="7" t="s">
        <v>914</v>
      </c>
      <c r="AE203" s="7" t="s">
        <v>317</v>
      </c>
      <c r="AF203" s="7" t="s">
        <v>915</v>
      </c>
      <c r="AG203" s="40" t="s">
        <v>319</v>
      </c>
      <c r="AH203" s="41">
        <v>43614</v>
      </c>
      <c r="AI203" s="41">
        <v>43687</v>
      </c>
      <c r="AJ203" s="50" t="s">
        <v>317</v>
      </c>
      <c r="AK203" s="53" t="s">
        <v>317</v>
      </c>
      <c r="AM203" s="43" t="s">
        <v>915</v>
      </c>
    </row>
    <row r="204" spans="1:39" s="7" customFormat="1" x14ac:dyDescent="0.25">
      <c r="A204" s="7" t="str">
        <f>+MID(Tabla1[[#This Row],[N° Decreto
Expansión]],1,4)</f>
        <v>2019</v>
      </c>
      <c r="B204" s="7" t="str">
        <f>+RIGHT(Tabla1[[#This Row],[N° Decreto
Expansión]],3)</f>
        <v>198</v>
      </c>
      <c r="C204" s="32" t="s">
        <v>792</v>
      </c>
      <c r="D204" s="7" t="s">
        <v>307</v>
      </c>
      <c r="E204" s="7" t="s">
        <v>17</v>
      </c>
      <c r="F204" s="7" t="s">
        <v>308</v>
      </c>
      <c r="G204" s="45" t="s">
        <v>309</v>
      </c>
      <c r="H204" s="7" t="s">
        <v>310</v>
      </c>
      <c r="I204" s="7" t="s">
        <v>793</v>
      </c>
      <c r="J204" s="7">
        <v>1</v>
      </c>
      <c r="K204" s="33" t="s">
        <v>312</v>
      </c>
      <c r="L204" s="7" t="s">
        <v>463</v>
      </c>
      <c r="M204" s="7" t="s">
        <v>463</v>
      </c>
      <c r="N204" s="7" t="s">
        <v>916</v>
      </c>
      <c r="O204" s="7" t="s">
        <v>795</v>
      </c>
      <c r="P204" s="7" t="s">
        <v>793</v>
      </c>
      <c r="Q204" s="34">
        <v>44022</v>
      </c>
      <c r="R204" s="33" t="s">
        <v>317</v>
      </c>
      <c r="S204" s="33" t="s">
        <v>317</v>
      </c>
      <c r="T204" s="36">
        <v>1.2579180000000001</v>
      </c>
      <c r="U204" s="60">
        <v>24</v>
      </c>
      <c r="V204" s="37">
        <v>1934434.8889411385</v>
      </c>
      <c r="W204" s="37">
        <f>Tabla1[[#This Row],[V.I. Adj]]/1000000</f>
        <v>1.9344348889411385</v>
      </c>
      <c r="X204" s="48" t="s">
        <v>317</v>
      </c>
      <c r="Y204" s="48" t="s">
        <v>317</v>
      </c>
      <c r="Z204" s="48" t="s">
        <v>317</v>
      </c>
      <c r="AA204" s="48" t="s">
        <v>317</v>
      </c>
      <c r="AB204" s="48" t="s">
        <v>317</v>
      </c>
      <c r="AC204" s="7" t="s">
        <v>27</v>
      </c>
      <c r="AD204" s="7" t="s">
        <v>914</v>
      </c>
      <c r="AE204" s="7" t="s">
        <v>317</v>
      </c>
      <c r="AF204" s="7" t="s">
        <v>917</v>
      </c>
      <c r="AG204" s="40" t="s">
        <v>319</v>
      </c>
      <c r="AH204" s="41">
        <v>43614</v>
      </c>
      <c r="AI204" s="41">
        <v>43687</v>
      </c>
      <c r="AJ204" s="50" t="s">
        <v>317</v>
      </c>
      <c r="AK204" s="53" t="s">
        <v>317</v>
      </c>
      <c r="AM204" s="43" t="s">
        <v>917</v>
      </c>
    </row>
    <row r="205" spans="1:39" s="7" customFormat="1" x14ac:dyDescent="0.25">
      <c r="A205" s="7" t="str">
        <f>+MID(Tabla1[[#This Row],[N° Decreto
Expansión]],1,4)</f>
        <v>2019</v>
      </c>
      <c r="B205" s="7" t="str">
        <f>+RIGHT(Tabla1[[#This Row],[N° Decreto
Expansión]],3)</f>
        <v>198</v>
      </c>
      <c r="C205" s="32" t="s">
        <v>792</v>
      </c>
      <c r="D205" s="7" t="s">
        <v>307</v>
      </c>
      <c r="E205" s="7" t="s">
        <v>17</v>
      </c>
      <c r="F205" s="7" t="s">
        <v>308</v>
      </c>
      <c r="G205" s="45" t="s">
        <v>309</v>
      </c>
      <c r="H205" s="7" t="s">
        <v>310</v>
      </c>
      <c r="I205" s="7" t="s">
        <v>793</v>
      </c>
      <c r="J205" s="7">
        <v>1</v>
      </c>
      <c r="K205" s="33" t="s">
        <v>312</v>
      </c>
      <c r="L205" s="7" t="s">
        <v>463</v>
      </c>
      <c r="M205" s="7" t="s">
        <v>463</v>
      </c>
      <c r="N205" s="7" t="s">
        <v>918</v>
      </c>
      <c r="O205" s="7" t="s">
        <v>795</v>
      </c>
      <c r="P205" s="7" t="s">
        <v>793</v>
      </c>
      <c r="Q205" s="34">
        <v>44022</v>
      </c>
      <c r="R205" s="33" t="s">
        <v>317</v>
      </c>
      <c r="S205" s="33" t="s">
        <v>317</v>
      </c>
      <c r="T205" s="36">
        <v>0.97690500000000002</v>
      </c>
      <c r="U205" s="60">
        <v>24</v>
      </c>
      <c r="V205" s="37">
        <v>1502291.1789012025</v>
      </c>
      <c r="W205" s="37">
        <f>Tabla1[[#This Row],[V.I. Adj]]/1000000</f>
        <v>1.5022911789012026</v>
      </c>
      <c r="X205" s="48" t="s">
        <v>317</v>
      </c>
      <c r="Y205" s="48" t="s">
        <v>317</v>
      </c>
      <c r="Z205" s="48" t="s">
        <v>317</v>
      </c>
      <c r="AA205" s="48" t="s">
        <v>317</v>
      </c>
      <c r="AB205" s="48" t="s">
        <v>317</v>
      </c>
      <c r="AC205" s="7" t="s">
        <v>27</v>
      </c>
      <c r="AD205" s="7" t="s">
        <v>914</v>
      </c>
      <c r="AE205" s="7" t="s">
        <v>317</v>
      </c>
      <c r="AF205" s="7" t="s">
        <v>919</v>
      </c>
      <c r="AG205" s="40" t="s">
        <v>319</v>
      </c>
      <c r="AH205" s="41">
        <v>43614</v>
      </c>
      <c r="AI205" s="41">
        <v>43687</v>
      </c>
      <c r="AJ205" s="50" t="s">
        <v>317</v>
      </c>
      <c r="AK205" s="53" t="s">
        <v>317</v>
      </c>
      <c r="AM205" s="43" t="s">
        <v>919</v>
      </c>
    </row>
    <row r="206" spans="1:39" s="7" customFormat="1" x14ac:dyDescent="0.25">
      <c r="A206" s="7" t="str">
        <f>+MID(Tabla1[[#This Row],[N° Decreto
Expansión]],1,4)</f>
        <v>2019</v>
      </c>
      <c r="B206" s="7" t="str">
        <f>+RIGHT(Tabla1[[#This Row],[N° Decreto
Expansión]],3)</f>
        <v>198</v>
      </c>
      <c r="C206" s="32" t="s">
        <v>792</v>
      </c>
      <c r="D206" s="7" t="s">
        <v>307</v>
      </c>
      <c r="E206" s="7" t="s">
        <v>17</v>
      </c>
      <c r="F206" s="7" t="s">
        <v>308</v>
      </c>
      <c r="G206" s="45" t="s">
        <v>309</v>
      </c>
      <c r="H206" s="7" t="s">
        <v>310</v>
      </c>
      <c r="I206" s="7" t="s">
        <v>793</v>
      </c>
      <c r="J206" s="7">
        <v>1</v>
      </c>
      <c r="K206" s="33" t="s">
        <v>312</v>
      </c>
      <c r="L206" s="7" t="s">
        <v>463</v>
      </c>
      <c r="M206" s="7" t="s">
        <v>463</v>
      </c>
      <c r="N206" s="7" t="s">
        <v>920</v>
      </c>
      <c r="O206" s="7" t="s">
        <v>795</v>
      </c>
      <c r="P206" s="7" t="s">
        <v>793</v>
      </c>
      <c r="Q206" s="34">
        <v>44022</v>
      </c>
      <c r="R206" s="33" t="s">
        <v>317</v>
      </c>
      <c r="S206" s="33" t="s">
        <v>317</v>
      </c>
      <c r="T206" s="36">
        <v>1.721325</v>
      </c>
      <c r="U206" s="60">
        <v>24</v>
      </c>
      <c r="V206" s="37">
        <v>2647065.3374914783</v>
      </c>
      <c r="W206" s="37">
        <f>Tabla1[[#This Row],[V.I. Adj]]/1000000</f>
        <v>2.6470653374914783</v>
      </c>
      <c r="X206" s="48" t="s">
        <v>317</v>
      </c>
      <c r="Y206" s="48" t="s">
        <v>317</v>
      </c>
      <c r="Z206" s="48" t="s">
        <v>317</v>
      </c>
      <c r="AA206" s="48" t="s">
        <v>317</v>
      </c>
      <c r="AB206" s="48" t="s">
        <v>317</v>
      </c>
      <c r="AC206" s="7" t="s">
        <v>27</v>
      </c>
      <c r="AD206" s="7" t="s">
        <v>914</v>
      </c>
      <c r="AE206" s="7" t="s">
        <v>317</v>
      </c>
      <c r="AF206" s="7" t="s">
        <v>921</v>
      </c>
      <c r="AG206" s="40" t="s">
        <v>319</v>
      </c>
      <c r="AH206" s="41">
        <v>43614</v>
      </c>
      <c r="AI206" s="41">
        <v>43687</v>
      </c>
      <c r="AJ206" s="50" t="s">
        <v>317</v>
      </c>
      <c r="AK206" s="53" t="s">
        <v>317</v>
      </c>
      <c r="AM206" s="43" t="s">
        <v>921</v>
      </c>
    </row>
    <row r="207" spans="1:39" s="7" customFormat="1" x14ac:dyDescent="0.25">
      <c r="A207" s="7" t="str">
        <f>+MID(Tabla1[[#This Row],[N° Decreto
Expansión]],1,4)</f>
        <v>2019</v>
      </c>
      <c r="B207" s="7" t="str">
        <f>+RIGHT(Tabla1[[#This Row],[N° Decreto
Expansión]],3)</f>
        <v>198</v>
      </c>
      <c r="C207" s="32" t="s">
        <v>792</v>
      </c>
      <c r="D207" s="7" t="s">
        <v>307</v>
      </c>
      <c r="E207" s="7" t="s">
        <v>17</v>
      </c>
      <c r="F207" s="7" t="s">
        <v>308</v>
      </c>
      <c r="G207" s="45" t="s">
        <v>309</v>
      </c>
      <c r="H207" s="7" t="s">
        <v>310</v>
      </c>
      <c r="I207" s="7" t="s">
        <v>793</v>
      </c>
      <c r="J207" s="7">
        <v>1</v>
      </c>
      <c r="K207" s="33" t="s">
        <v>312</v>
      </c>
      <c r="L207" s="7" t="s">
        <v>475</v>
      </c>
      <c r="M207" s="7" t="s">
        <v>475</v>
      </c>
      <c r="N207" s="7" t="s">
        <v>922</v>
      </c>
      <c r="O207" s="7" t="s">
        <v>795</v>
      </c>
      <c r="P207" s="7" t="s">
        <v>793</v>
      </c>
      <c r="Q207" s="34">
        <v>44022</v>
      </c>
      <c r="R207" s="33" t="s">
        <v>317</v>
      </c>
      <c r="S207" s="33" t="s">
        <v>317</v>
      </c>
      <c r="T207" s="36">
        <v>2.3785569999999998</v>
      </c>
      <c r="U207" s="60">
        <v>24</v>
      </c>
      <c r="V207" s="37">
        <v>3657761.194398337</v>
      </c>
      <c r="W207" s="37">
        <f>Tabla1[[#This Row],[V.I. Adj]]/1000000</f>
        <v>3.6577611943983372</v>
      </c>
      <c r="X207" s="48" t="s">
        <v>317</v>
      </c>
      <c r="Y207" s="48" t="s">
        <v>317</v>
      </c>
      <c r="Z207" s="48" t="s">
        <v>317</v>
      </c>
      <c r="AA207" s="48" t="s">
        <v>317</v>
      </c>
      <c r="AB207" s="48" t="s">
        <v>317</v>
      </c>
      <c r="AC207" s="7" t="s">
        <v>923</v>
      </c>
      <c r="AD207" s="7" t="s">
        <v>914</v>
      </c>
      <c r="AE207" s="7" t="s">
        <v>317</v>
      </c>
      <c r="AF207" s="7" t="s">
        <v>924</v>
      </c>
      <c r="AG207" s="40" t="s">
        <v>319</v>
      </c>
      <c r="AH207" s="41">
        <v>43614</v>
      </c>
      <c r="AI207" s="41">
        <v>43687</v>
      </c>
      <c r="AJ207" s="50" t="s">
        <v>317</v>
      </c>
      <c r="AK207" s="53" t="s">
        <v>317</v>
      </c>
      <c r="AM207" s="43" t="s">
        <v>924</v>
      </c>
    </row>
    <row r="208" spans="1:39" s="7" customFormat="1" x14ac:dyDescent="0.25">
      <c r="A208" s="7" t="str">
        <f>+MID(Tabla1[[#This Row],[N° Decreto
Expansión]],1,4)</f>
        <v>2019</v>
      </c>
      <c r="B208" s="7" t="str">
        <f>+RIGHT(Tabla1[[#This Row],[N° Decreto
Expansión]],3)</f>
        <v>198</v>
      </c>
      <c r="C208" s="32" t="s">
        <v>792</v>
      </c>
      <c r="D208" s="7" t="s">
        <v>307</v>
      </c>
      <c r="E208" s="7" t="s">
        <v>388</v>
      </c>
      <c r="F208" s="7" t="s">
        <v>308</v>
      </c>
      <c r="G208" s="45" t="s">
        <v>389</v>
      </c>
      <c r="H208" s="7" t="s">
        <v>310</v>
      </c>
      <c r="I208" s="7" t="s">
        <v>925</v>
      </c>
      <c r="J208" s="7">
        <v>1</v>
      </c>
      <c r="K208" s="33" t="s">
        <v>312</v>
      </c>
      <c r="L208" s="7" t="s">
        <v>392</v>
      </c>
      <c r="M208" s="7" t="s">
        <v>392</v>
      </c>
      <c r="N208" s="7" t="s">
        <v>926</v>
      </c>
      <c r="O208" s="7" t="s">
        <v>927</v>
      </c>
      <c r="P208" s="7" t="s">
        <v>925</v>
      </c>
      <c r="Q208" s="34">
        <v>44162</v>
      </c>
      <c r="R208" s="33" t="s">
        <v>317</v>
      </c>
      <c r="S208" s="33" t="s">
        <v>317</v>
      </c>
      <c r="T208" s="36">
        <v>7.540489</v>
      </c>
      <c r="U208" s="33">
        <v>36</v>
      </c>
      <c r="V208" s="37">
        <v>7974000</v>
      </c>
      <c r="W208" s="37">
        <f>Tabla1[[#This Row],[V.I. Adj]]/1000000</f>
        <v>7.9740000000000002</v>
      </c>
      <c r="X208" s="48" t="s">
        <v>317</v>
      </c>
      <c r="Y208" s="48" t="s">
        <v>317</v>
      </c>
      <c r="Z208" s="48" t="s">
        <v>317</v>
      </c>
      <c r="AA208" s="48" t="s">
        <v>317</v>
      </c>
      <c r="AB208" s="48" t="s">
        <v>317</v>
      </c>
      <c r="AC208" s="7" t="s">
        <v>27</v>
      </c>
      <c r="AD208" s="7" t="s">
        <v>317</v>
      </c>
      <c r="AE208" s="7" t="s">
        <v>317</v>
      </c>
      <c r="AF208" s="7" t="s">
        <v>928</v>
      </c>
      <c r="AG208" s="50">
        <v>231</v>
      </c>
      <c r="AH208" s="41">
        <v>43614</v>
      </c>
      <c r="AI208" s="41">
        <v>43732</v>
      </c>
      <c r="AJ208" s="50" t="s">
        <v>317</v>
      </c>
      <c r="AK208" s="53" t="s">
        <v>317</v>
      </c>
      <c r="AM208" s="43" t="s">
        <v>928</v>
      </c>
    </row>
    <row r="209" spans="1:39" s="7" customFormat="1" x14ac:dyDescent="0.25">
      <c r="A209" s="7" t="str">
        <f>+MID(Tabla1[[#This Row],[N° Decreto
Expansión]],1,4)</f>
        <v>2019</v>
      </c>
      <c r="B209" s="7" t="str">
        <f>+RIGHT(Tabla1[[#This Row],[N° Decreto
Expansión]],3)</f>
        <v>198</v>
      </c>
      <c r="C209" s="32" t="s">
        <v>792</v>
      </c>
      <c r="D209" s="7" t="s">
        <v>307</v>
      </c>
      <c r="E209" s="7" t="s">
        <v>388</v>
      </c>
      <c r="F209" s="7" t="s">
        <v>308</v>
      </c>
      <c r="G209" s="45" t="s">
        <v>389</v>
      </c>
      <c r="H209" s="7" t="s">
        <v>310</v>
      </c>
      <c r="I209" s="7" t="s">
        <v>925</v>
      </c>
      <c r="J209" s="7">
        <v>1</v>
      </c>
      <c r="K209" s="33" t="s">
        <v>312</v>
      </c>
      <c r="L209" s="7" t="s">
        <v>408</v>
      </c>
      <c r="M209" s="7" t="s">
        <v>408</v>
      </c>
      <c r="N209" s="7" t="s">
        <v>929</v>
      </c>
      <c r="O209" s="7" t="s">
        <v>930</v>
      </c>
      <c r="P209" s="7" t="s">
        <v>925</v>
      </c>
      <c r="Q209" s="34">
        <v>44162</v>
      </c>
      <c r="R209" s="33" t="s">
        <v>317</v>
      </c>
      <c r="S209" s="33" t="s">
        <v>317</v>
      </c>
      <c r="T209" s="36">
        <v>0.4</v>
      </c>
      <c r="U209" s="33">
        <v>24</v>
      </c>
      <c r="V209" s="37">
        <v>887513</v>
      </c>
      <c r="W209" s="37">
        <f>Tabla1[[#This Row],[V.I. Adj]]/1000000</f>
        <v>0.887513</v>
      </c>
      <c r="X209" s="48" t="s">
        <v>317</v>
      </c>
      <c r="Y209" s="48" t="s">
        <v>317</v>
      </c>
      <c r="Z209" s="48" t="s">
        <v>317</v>
      </c>
      <c r="AA209" s="48" t="s">
        <v>317</v>
      </c>
      <c r="AB209" s="48" t="s">
        <v>317</v>
      </c>
      <c r="AC209" s="7" t="s">
        <v>931</v>
      </c>
      <c r="AD209" s="7" t="s">
        <v>317</v>
      </c>
      <c r="AE209" s="7" t="s">
        <v>317</v>
      </c>
      <c r="AF209" s="7" t="s">
        <v>932</v>
      </c>
      <c r="AG209" s="50">
        <v>231</v>
      </c>
      <c r="AH209" s="41">
        <v>43614</v>
      </c>
      <c r="AI209" s="41">
        <v>43732</v>
      </c>
      <c r="AJ209" s="50" t="s">
        <v>317</v>
      </c>
      <c r="AK209" s="53" t="s">
        <v>317</v>
      </c>
      <c r="AM209" s="43" t="s">
        <v>932</v>
      </c>
    </row>
    <row r="210" spans="1:39" s="7" customFormat="1" x14ac:dyDescent="0.25">
      <c r="A210" s="7" t="str">
        <f>+MID(Tabla1[[#This Row],[N° Decreto
Expansión]],1,4)</f>
        <v>2019</v>
      </c>
      <c r="B210" s="7" t="str">
        <f>+RIGHT(Tabla1[[#This Row],[N° Decreto
Expansión]],3)</f>
        <v>198</v>
      </c>
      <c r="C210" s="32" t="s">
        <v>792</v>
      </c>
      <c r="D210" s="7" t="s">
        <v>307</v>
      </c>
      <c r="E210" s="7" t="s">
        <v>388</v>
      </c>
      <c r="F210" s="7" t="s">
        <v>308</v>
      </c>
      <c r="G210" s="45" t="s">
        <v>389</v>
      </c>
      <c r="H210" s="7" t="s">
        <v>310</v>
      </c>
      <c r="I210" s="7" t="s">
        <v>925</v>
      </c>
      <c r="J210" s="7">
        <v>1</v>
      </c>
      <c r="K210" s="33" t="s">
        <v>312</v>
      </c>
      <c r="L210" s="7" t="s">
        <v>408</v>
      </c>
      <c r="M210" s="7" t="s">
        <v>408</v>
      </c>
      <c r="N210" s="7" t="s">
        <v>933</v>
      </c>
      <c r="O210" s="7" t="s">
        <v>930</v>
      </c>
      <c r="P210" s="7" t="s">
        <v>925</v>
      </c>
      <c r="Q210" s="34">
        <v>44162</v>
      </c>
      <c r="R210" s="33" t="s">
        <v>317</v>
      </c>
      <c r="S210" s="33" t="s">
        <v>317</v>
      </c>
      <c r="T210" s="36">
        <v>0.408308</v>
      </c>
      <c r="U210" s="33">
        <v>24</v>
      </c>
      <c r="V210" s="37">
        <v>922864</v>
      </c>
      <c r="W210" s="37">
        <f>Tabla1[[#This Row],[V.I. Adj]]/1000000</f>
        <v>0.92286400000000002</v>
      </c>
      <c r="X210" s="48" t="s">
        <v>317</v>
      </c>
      <c r="Y210" s="48" t="s">
        <v>317</v>
      </c>
      <c r="Z210" s="48" t="s">
        <v>317</v>
      </c>
      <c r="AA210" s="48" t="s">
        <v>317</v>
      </c>
      <c r="AB210" s="48" t="s">
        <v>317</v>
      </c>
      <c r="AC210" s="7" t="s">
        <v>27</v>
      </c>
      <c r="AD210" s="7" t="s">
        <v>317</v>
      </c>
      <c r="AE210" s="7" t="s">
        <v>317</v>
      </c>
      <c r="AF210" s="7" t="s">
        <v>934</v>
      </c>
      <c r="AG210" s="50">
        <v>231</v>
      </c>
      <c r="AH210" s="41">
        <v>43614</v>
      </c>
      <c r="AI210" s="41">
        <v>43732</v>
      </c>
      <c r="AJ210" s="50" t="s">
        <v>317</v>
      </c>
      <c r="AK210" s="53" t="s">
        <v>317</v>
      </c>
      <c r="AM210" s="43" t="s">
        <v>934</v>
      </c>
    </row>
    <row r="211" spans="1:39" s="7" customFormat="1" x14ac:dyDescent="0.25">
      <c r="A211" s="7" t="str">
        <f>+MID(Tabla1[[#This Row],[N° Decreto
Expansión]],1,4)</f>
        <v>2019</v>
      </c>
      <c r="B211" s="7" t="str">
        <f>+RIGHT(Tabla1[[#This Row],[N° Decreto
Expansión]],3)</f>
        <v>198</v>
      </c>
      <c r="C211" s="32" t="s">
        <v>792</v>
      </c>
      <c r="D211" s="7" t="s">
        <v>307</v>
      </c>
      <c r="E211" s="7" t="s">
        <v>388</v>
      </c>
      <c r="F211" s="7" t="s">
        <v>308</v>
      </c>
      <c r="G211" s="45" t="s">
        <v>389</v>
      </c>
      <c r="H211" s="7" t="s">
        <v>390</v>
      </c>
      <c r="I211" s="7" t="s">
        <v>391</v>
      </c>
      <c r="J211" s="7">
        <v>1</v>
      </c>
      <c r="K211" s="33" t="s">
        <v>312</v>
      </c>
      <c r="L211" s="7" t="s">
        <v>392</v>
      </c>
      <c r="M211" s="7" t="s">
        <v>392</v>
      </c>
      <c r="N211" s="7" t="s">
        <v>705</v>
      </c>
      <c r="O211" s="7" t="s">
        <v>361</v>
      </c>
      <c r="P211" s="7" t="s">
        <v>319</v>
      </c>
      <c r="Q211" s="33" t="s">
        <v>317</v>
      </c>
      <c r="R211" s="33" t="s">
        <v>317</v>
      </c>
      <c r="S211" s="33" t="s">
        <v>317</v>
      </c>
      <c r="T211" s="36">
        <v>1.7398130000000001</v>
      </c>
      <c r="U211" s="33">
        <v>24</v>
      </c>
      <c r="V211" s="46" t="s">
        <v>319</v>
      </c>
      <c r="W211" s="51" t="s">
        <v>319</v>
      </c>
      <c r="X211" s="48" t="s">
        <v>317</v>
      </c>
      <c r="Y211" s="48" t="s">
        <v>317</v>
      </c>
      <c r="Z211" s="48" t="s">
        <v>317</v>
      </c>
      <c r="AA211" s="48" t="s">
        <v>317</v>
      </c>
      <c r="AB211" s="48" t="s">
        <v>317</v>
      </c>
      <c r="AC211" s="7" t="s">
        <v>27</v>
      </c>
      <c r="AD211" s="7" t="s">
        <v>317</v>
      </c>
      <c r="AE211" s="7" t="s">
        <v>317</v>
      </c>
      <c r="AF211" s="7" t="s">
        <v>935</v>
      </c>
      <c r="AG211" s="40" t="s">
        <v>319</v>
      </c>
      <c r="AH211" s="41">
        <v>43614</v>
      </c>
      <c r="AI211" s="41">
        <v>43732</v>
      </c>
      <c r="AJ211" s="50" t="s">
        <v>317</v>
      </c>
      <c r="AK211" s="42">
        <v>44515</v>
      </c>
      <c r="AM211" s="43" t="s">
        <v>935</v>
      </c>
    </row>
    <row r="212" spans="1:39" s="7" customFormat="1" x14ac:dyDescent="0.25">
      <c r="A212" s="7" t="str">
        <f>+MID(Tabla1[[#This Row],[N° Decreto
Expansión]],1,4)</f>
        <v>2019</v>
      </c>
      <c r="B212" s="7" t="str">
        <f>+RIGHT(Tabla1[[#This Row],[N° Decreto
Expansión]],3)</f>
        <v>231</v>
      </c>
      <c r="C212" s="32" t="s">
        <v>936</v>
      </c>
      <c r="D212" s="7" t="s">
        <v>562</v>
      </c>
      <c r="E212" s="7" t="s">
        <v>479</v>
      </c>
      <c r="F212" s="7" t="s">
        <v>480</v>
      </c>
      <c r="G212" s="45" t="s">
        <v>309</v>
      </c>
      <c r="H212" s="7" t="s">
        <v>310</v>
      </c>
      <c r="I212" s="7" t="s">
        <v>925</v>
      </c>
      <c r="J212" s="7">
        <v>1</v>
      </c>
      <c r="K212" s="33" t="s">
        <v>312</v>
      </c>
      <c r="L212" s="7" t="s">
        <v>313</v>
      </c>
      <c r="M212" s="7" t="s">
        <v>313</v>
      </c>
      <c r="N212" s="7" t="s">
        <v>937</v>
      </c>
      <c r="O212" s="7" t="s">
        <v>565</v>
      </c>
      <c r="P212" s="7" t="s">
        <v>925</v>
      </c>
      <c r="Q212" s="34">
        <v>44162</v>
      </c>
      <c r="R212" s="33" t="s">
        <v>317</v>
      </c>
      <c r="S212" s="33" t="s">
        <v>317</v>
      </c>
      <c r="T212" s="36">
        <v>4.9325207031658698</v>
      </c>
      <c r="U212" s="33">
        <v>24</v>
      </c>
      <c r="V212" s="37">
        <f>-PV(Tabla1[[#This Row],[Tasa]],Tabla1[[#This Row],[Periodo]],Tabla1[[#This Row],[AVI]])</f>
        <v>3284144.4161100099</v>
      </c>
      <c r="W212" s="37">
        <f>Tabla1[[#This Row],[V.I. Adj]]/1000000</f>
        <v>3.28414441611001</v>
      </c>
      <c r="X212" s="37">
        <v>310000</v>
      </c>
      <c r="Y212" s="37">
        <v>76048</v>
      </c>
      <c r="Z212" s="54">
        <v>386048</v>
      </c>
      <c r="AA212" s="54">
        <v>20</v>
      </c>
      <c r="AB212" s="55">
        <v>7.0000000000000007E-2</v>
      </c>
      <c r="AC212" s="7" t="s">
        <v>317</v>
      </c>
      <c r="AD212" s="7" t="s">
        <v>317</v>
      </c>
      <c r="AE212" s="7" t="s">
        <v>317</v>
      </c>
      <c r="AF212" s="7" t="s">
        <v>938</v>
      </c>
      <c r="AG212" s="40" t="s">
        <v>319</v>
      </c>
      <c r="AH212" s="41">
        <v>43614</v>
      </c>
      <c r="AI212" s="41">
        <v>43732</v>
      </c>
      <c r="AJ212" s="50" t="s">
        <v>317</v>
      </c>
      <c r="AK212" s="53" t="s">
        <v>317</v>
      </c>
      <c r="AM212" s="43" t="s">
        <v>938</v>
      </c>
    </row>
    <row r="213" spans="1:39" s="7" customFormat="1" x14ac:dyDescent="0.25">
      <c r="A213" s="7" t="str">
        <f>+MID(Tabla1[[#This Row],[N° Decreto
Expansión]],1,4)</f>
        <v>2019</v>
      </c>
      <c r="B213" s="7" t="str">
        <f>+RIGHT(Tabla1[[#This Row],[N° Decreto
Expansión]],3)</f>
        <v>231</v>
      </c>
      <c r="C213" s="32" t="s">
        <v>936</v>
      </c>
      <c r="D213" s="7" t="s">
        <v>562</v>
      </c>
      <c r="E213" s="7" t="s">
        <v>479</v>
      </c>
      <c r="F213" s="7" t="s">
        <v>480</v>
      </c>
      <c r="G213" s="45" t="s">
        <v>309</v>
      </c>
      <c r="H213" s="7" t="s">
        <v>310</v>
      </c>
      <c r="I213" s="7" t="s">
        <v>925</v>
      </c>
      <c r="J213" s="7">
        <v>1</v>
      </c>
      <c r="K213" s="33" t="s">
        <v>312</v>
      </c>
      <c r="L213" s="7" t="s">
        <v>334</v>
      </c>
      <c r="M213" s="7" t="s">
        <v>334</v>
      </c>
      <c r="N213" s="7" t="s">
        <v>939</v>
      </c>
      <c r="O213" s="7" t="s">
        <v>206</v>
      </c>
      <c r="P213" s="7" t="s">
        <v>925</v>
      </c>
      <c r="Q213" s="34">
        <v>44162</v>
      </c>
      <c r="R213" s="33" t="s">
        <v>317</v>
      </c>
      <c r="S213" s="33" t="s">
        <v>317</v>
      </c>
      <c r="T213" s="36">
        <v>6.7558803746431701</v>
      </c>
      <c r="U213" s="33">
        <v>24</v>
      </c>
      <c r="V213" s="37">
        <f>-PV(Tabla1[[#This Row],[Tasa]],Tabla1[[#This Row],[Periodo]],Tabla1[[#This Row],[AVI]])</f>
        <v>4883607.4988695495</v>
      </c>
      <c r="W213" s="37">
        <f>Tabla1[[#This Row],[V.I. Adj]]/1000000</f>
        <v>4.8836074988695497</v>
      </c>
      <c r="X213" s="37">
        <v>460978</v>
      </c>
      <c r="Y213" s="37">
        <v>151082</v>
      </c>
      <c r="Z213" s="54">
        <v>612060</v>
      </c>
      <c r="AA213" s="54">
        <v>20</v>
      </c>
      <c r="AB213" s="55">
        <v>7.0000000000000007E-2</v>
      </c>
      <c r="AC213" s="7" t="s">
        <v>317</v>
      </c>
      <c r="AD213" s="7" t="s">
        <v>317</v>
      </c>
      <c r="AE213" s="7" t="s">
        <v>317</v>
      </c>
      <c r="AF213" s="7" t="s">
        <v>940</v>
      </c>
      <c r="AG213" s="40" t="s">
        <v>319</v>
      </c>
      <c r="AH213" s="41">
        <v>43614</v>
      </c>
      <c r="AI213" s="41">
        <v>43732</v>
      </c>
      <c r="AJ213" s="50" t="s">
        <v>317</v>
      </c>
      <c r="AK213" s="53" t="s">
        <v>317</v>
      </c>
      <c r="AM213" s="43" t="s">
        <v>940</v>
      </c>
    </row>
    <row r="214" spans="1:39" s="7" customFormat="1" x14ac:dyDescent="0.25">
      <c r="A214" s="7" t="str">
        <f>+MID(Tabla1[[#This Row],[N° Decreto
Expansión]],1,4)</f>
        <v>2019</v>
      </c>
      <c r="B214" s="7" t="str">
        <f>+RIGHT(Tabla1[[#This Row],[N° Decreto
Expansión]],3)</f>
        <v>231</v>
      </c>
      <c r="C214" s="32" t="s">
        <v>936</v>
      </c>
      <c r="D214" s="7" t="s">
        <v>307</v>
      </c>
      <c r="E214" s="7" t="s">
        <v>479</v>
      </c>
      <c r="F214" s="7" t="s">
        <v>480</v>
      </c>
      <c r="G214" s="45" t="s">
        <v>309</v>
      </c>
      <c r="H214" s="7" t="s">
        <v>310</v>
      </c>
      <c r="I214" s="7" t="s">
        <v>925</v>
      </c>
      <c r="J214" s="7">
        <v>1</v>
      </c>
      <c r="K214" s="33" t="s">
        <v>312</v>
      </c>
      <c r="L214" s="7" t="s">
        <v>338</v>
      </c>
      <c r="M214" s="7" t="s">
        <v>338</v>
      </c>
      <c r="N214" s="7" t="s">
        <v>941</v>
      </c>
      <c r="O214" s="7" t="s">
        <v>206</v>
      </c>
      <c r="P214" s="7" t="s">
        <v>925</v>
      </c>
      <c r="Q214" s="34">
        <v>44162</v>
      </c>
      <c r="R214" s="33" t="s">
        <v>317</v>
      </c>
      <c r="S214" s="33" t="s">
        <v>317</v>
      </c>
      <c r="T214" s="36">
        <v>5.6900498876073504</v>
      </c>
      <c r="U214" s="33">
        <v>24</v>
      </c>
      <c r="V214" s="37">
        <f>-PV(Tabla1[[#This Row],[Tasa]],Tabla1[[#This Row],[Periodo]],Tabla1[[#This Row],[AVI]])</f>
        <v>4530381.8758955486</v>
      </c>
      <c r="W214" s="37">
        <f>Tabla1[[#This Row],[V.I. Adj]]/1000000</f>
        <v>4.5303818758955483</v>
      </c>
      <c r="X214" s="37">
        <v>427636</v>
      </c>
      <c r="Y214" s="37">
        <v>129155</v>
      </c>
      <c r="Z214" s="54">
        <v>556791</v>
      </c>
      <c r="AA214" s="54">
        <v>20</v>
      </c>
      <c r="AB214" s="55">
        <v>7.0000000000000007E-2</v>
      </c>
      <c r="AC214" s="7" t="s">
        <v>317</v>
      </c>
      <c r="AD214" s="7" t="s">
        <v>317</v>
      </c>
      <c r="AE214" s="7" t="s">
        <v>317</v>
      </c>
      <c r="AF214" s="7" t="s">
        <v>942</v>
      </c>
      <c r="AG214" s="40" t="s">
        <v>319</v>
      </c>
      <c r="AH214" s="41">
        <v>43614</v>
      </c>
      <c r="AI214" s="41">
        <v>43732</v>
      </c>
      <c r="AJ214" s="50" t="s">
        <v>317</v>
      </c>
      <c r="AK214" s="53" t="s">
        <v>317</v>
      </c>
      <c r="AM214" s="43" t="s">
        <v>942</v>
      </c>
    </row>
    <row r="215" spans="1:39" s="7" customFormat="1" x14ac:dyDescent="0.25">
      <c r="A215" s="7" t="str">
        <f>+MID(Tabla1[[#This Row],[N° Decreto
Expansión]],1,4)</f>
        <v>2019</v>
      </c>
      <c r="B215" s="7" t="str">
        <f>+RIGHT(Tabla1[[#This Row],[N° Decreto
Expansión]],3)</f>
        <v>231</v>
      </c>
      <c r="C215" s="32" t="s">
        <v>936</v>
      </c>
      <c r="D215" s="7" t="s">
        <v>307</v>
      </c>
      <c r="E215" s="7" t="s">
        <v>479</v>
      </c>
      <c r="F215" s="7" t="s">
        <v>480</v>
      </c>
      <c r="G215" s="45" t="s">
        <v>309</v>
      </c>
      <c r="H215" s="7" t="s">
        <v>310</v>
      </c>
      <c r="I215" s="7" t="s">
        <v>925</v>
      </c>
      <c r="J215" s="7">
        <v>1</v>
      </c>
      <c r="K215" s="33" t="s">
        <v>33</v>
      </c>
      <c r="L215" s="7" t="s">
        <v>408</v>
      </c>
      <c r="M215" s="7" t="s">
        <v>408</v>
      </c>
      <c r="N215" s="7" t="s">
        <v>943</v>
      </c>
      <c r="O215" s="7" t="s">
        <v>930</v>
      </c>
      <c r="P215" s="7" t="s">
        <v>925</v>
      </c>
      <c r="Q215" s="34">
        <v>44162</v>
      </c>
      <c r="R215" s="33" t="s">
        <v>317</v>
      </c>
      <c r="S215" s="33" t="s">
        <v>317</v>
      </c>
      <c r="T215" s="36">
        <v>11.413497130133999</v>
      </c>
      <c r="U215" s="33">
        <v>36</v>
      </c>
      <c r="V215" s="37">
        <f>-PV(Tabla1[[#This Row],[Tasa]],Tabla1[[#This Row],[Periodo]],Tabla1[[#This Row],[AVI]])</f>
        <v>10512683.998153333</v>
      </c>
      <c r="W215" s="37">
        <f>Tabla1[[#This Row],[V.I. Adj]]/1000000</f>
        <v>10.512683998153333</v>
      </c>
      <c r="X215" s="37">
        <v>992323</v>
      </c>
      <c r="Y215" s="37">
        <v>187332</v>
      </c>
      <c r="Z215" s="54">
        <v>1179655</v>
      </c>
      <c r="AA215" s="54">
        <v>20</v>
      </c>
      <c r="AB215" s="55">
        <v>7.0000000000000007E-2</v>
      </c>
      <c r="AC215" s="7" t="s">
        <v>317</v>
      </c>
      <c r="AD215" s="7" t="s">
        <v>317</v>
      </c>
      <c r="AE215" s="7" t="s">
        <v>317</v>
      </c>
      <c r="AF215" s="7" t="s">
        <v>944</v>
      </c>
      <c r="AG215" s="40" t="s">
        <v>319</v>
      </c>
      <c r="AH215" s="41">
        <v>43614</v>
      </c>
      <c r="AI215" s="41">
        <v>43732</v>
      </c>
      <c r="AJ215" s="50" t="s">
        <v>317</v>
      </c>
      <c r="AK215" s="53" t="s">
        <v>317</v>
      </c>
      <c r="AM215" s="43" t="s">
        <v>944</v>
      </c>
    </row>
    <row r="216" spans="1:39" s="7" customFormat="1" x14ac:dyDescent="0.25">
      <c r="A216" s="7" t="str">
        <f>+MID(Tabla1[[#This Row],[N° Decreto
Expansión]],1,4)</f>
        <v>2019</v>
      </c>
      <c r="B216" s="7" t="str">
        <f>+RIGHT(Tabla1[[#This Row],[N° Decreto
Expansión]],3)</f>
        <v>231</v>
      </c>
      <c r="C216" s="32" t="s">
        <v>936</v>
      </c>
      <c r="D216" s="7" t="s">
        <v>307</v>
      </c>
      <c r="E216" s="7" t="s">
        <v>479</v>
      </c>
      <c r="F216" s="7" t="s">
        <v>480</v>
      </c>
      <c r="G216" s="45" t="s">
        <v>309</v>
      </c>
      <c r="H216" s="7" t="s">
        <v>310</v>
      </c>
      <c r="I216" s="7" t="s">
        <v>925</v>
      </c>
      <c r="J216" s="7">
        <v>1</v>
      </c>
      <c r="K216" s="33" t="s">
        <v>33</v>
      </c>
      <c r="L216" s="7" t="s">
        <v>355</v>
      </c>
      <c r="M216" s="7" t="s">
        <v>355</v>
      </c>
      <c r="N216" s="7" t="s">
        <v>945</v>
      </c>
      <c r="O216" s="7" t="s">
        <v>206</v>
      </c>
      <c r="P216" s="7" t="s">
        <v>925</v>
      </c>
      <c r="Q216" s="34">
        <v>44162</v>
      </c>
      <c r="R216" s="33" t="s">
        <v>317</v>
      </c>
      <c r="S216" s="33" t="s">
        <v>317</v>
      </c>
      <c r="T216" s="36">
        <v>3.15</v>
      </c>
      <c r="U216" s="33">
        <v>36</v>
      </c>
      <c r="V216" s="37">
        <f>-PV(Tabla1[[#This Row],[Tasa]],Tabla1[[#This Row],[Periodo]],Tabla1[[#This Row],[AVI]])</f>
        <v>3770706.3023780761</v>
      </c>
      <c r="W216" s="37">
        <f>Tabla1[[#This Row],[V.I. Adj]]/1000000</f>
        <v>3.770706302378076</v>
      </c>
      <c r="X216" s="37">
        <v>355928</v>
      </c>
      <c r="Y216" s="37">
        <v>56174</v>
      </c>
      <c r="Z216" s="54">
        <v>412102</v>
      </c>
      <c r="AA216" s="54">
        <v>20</v>
      </c>
      <c r="AB216" s="55">
        <v>7.0000000000000007E-2</v>
      </c>
      <c r="AC216" s="7" t="s">
        <v>317</v>
      </c>
      <c r="AD216" s="7" t="s">
        <v>317</v>
      </c>
      <c r="AE216" s="7" t="s">
        <v>317</v>
      </c>
      <c r="AF216" s="7" t="s">
        <v>946</v>
      </c>
      <c r="AG216" s="40" t="s">
        <v>319</v>
      </c>
      <c r="AH216" s="41">
        <v>43614</v>
      </c>
      <c r="AI216" s="41">
        <v>43732</v>
      </c>
      <c r="AJ216" s="50" t="s">
        <v>317</v>
      </c>
      <c r="AK216" s="53" t="s">
        <v>317</v>
      </c>
      <c r="AM216" s="43" t="s">
        <v>946</v>
      </c>
    </row>
    <row r="217" spans="1:39" s="7" customFormat="1" x14ac:dyDescent="0.25">
      <c r="A217" s="7" t="str">
        <f>+MID(Tabla1[[#This Row],[N° Decreto
Expansión]],1,4)</f>
        <v>2019</v>
      </c>
      <c r="B217" s="7" t="str">
        <f>+RIGHT(Tabla1[[#This Row],[N° Decreto
Expansión]],3)</f>
        <v>231</v>
      </c>
      <c r="C217" s="32" t="s">
        <v>936</v>
      </c>
      <c r="D217" s="7" t="s">
        <v>307</v>
      </c>
      <c r="E217" s="7" t="s">
        <v>479</v>
      </c>
      <c r="F217" s="7" t="s">
        <v>480</v>
      </c>
      <c r="G217" s="45" t="s">
        <v>309</v>
      </c>
      <c r="H217" s="7" t="s">
        <v>310</v>
      </c>
      <c r="I217" s="7" t="s">
        <v>925</v>
      </c>
      <c r="J217" s="7">
        <v>1</v>
      </c>
      <c r="K217" s="33" t="s">
        <v>312</v>
      </c>
      <c r="L217" s="7" t="s">
        <v>392</v>
      </c>
      <c r="M217" s="7" t="s">
        <v>392</v>
      </c>
      <c r="N217" s="7" t="s">
        <v>947</v>
      </c>
      <c r="O217" s="7" t="s">
        <v>927</v>
      </c>
      <c r="P217" s="7" t="s">
        <v>925</v>
      </c>
      <c r="Q217" s="34">
        <v>44162</v>
      </c>
      <c r="R217" s="33" t="s">
        <v>317</v>
      </c>
      <c r="S217" s="33" t="s">
        <v>317</v>
      </c>
      <c r="T217" s="36">
        <v>11.628992579213399</v>
      </c>
      <c r="U217" s="33">
        <v>36</v>
      </c>
      <c r="V217" s="37">
        <f>-PV(Tabla1[[#This Row],[Tasa]],Tabla1[[#This Row],[Periodo]],Tabla1[[#This Row],[AVI]])</f>
        <v>8490826.9734108187</v>
      </c>
      <c r="W217" s="37">
        <f>Tabla1[[#This Row],[V.I. Adj]]/1000000</f>
        <v>8.4908269734108188</v>
      </c>
      <c r="X217" s="37">
        <v>801474</v>
      </c>
      <c r="Y217" s="37">
        <v>70000</v>
      </c>
      <c r="Z217" s="54">
        <v>871474</v>
      </c>
      <c r="AA217" s="54">
        <v>20</v>
      </c>
      <c r="AB217" s="55">
        <v>7.0000000000000007E-2</v>
      </c>
      <c r="AC217" s="7" t="s">
        <v>317</v>
      </c>
      <c r="AD217" s="7" t="s">
        <v>317</v>
      </c>
      <c r="AE217" s="7" t="s">
        <v>317</v>
      </c>
      <c r="AF217" s="7" t="s">
        <v>948</v>
      </c>
      <c r="AG217" s="40" t="s">
        <v>319</v>
      </c>
      <c r="AH217" s="41">
        <v>43614</v>
      </c>
      <c r="AI217" s="41">
        <v>43732</v>
      </c>
      <c r="AJ217" s="50" t="s">
        <v>317</v>
      </c>
      <c r="AK217" s="53" t="s">
        <v>317</v>
      </c>
      <c r="AM217" s="43" t="s">
        <v>948</v>
      </c>
    </row>
    <row r="218" spans="1:39" s="7" customFormat="1" x14ac:dyDescent="0.25">
      <c r="A218" s="7" t="str">
        <f>+MID(Tabla1[[#This Row],[N° Decreto
Expansión]],1,4)</f>
        <v>2019</v>
      </c>
      <c r="B218" s="7" t="str">
        <f>+RIGHT(Tabla1[[#This Row],[N° Decreto
Expansión]],3)</f>
        <v>231</v>
      </c>
      <c r="C218" s="32" t="s">
        <v>936</v>
      </c>
      <c r="D218" s="7" t="s">
        <v>307</v>
      </c>
      <c r="E218" s="7" t="s">
        <v>479</v>
      </c>
      <c r="F218" s="7" t="s">
        <v>480</v>
      </c>
      <c r="G218" s="45" t="s">
        <v>309</v>
      </c>
      <c r="H218" s="7" t="s">
        <v>310</v>
      </c>
      <c r="I218" s="7" t="s">
        <v>925</v>
      </c>
      <c r="J218" s="7">
        <v>1</v>
      </c>
      <c r="K218" s="33" t="s">
        <v>312</v>
      </c>
      <c r="L218" s="7" t="s">
        <v>392</v>
      </c>
      <c r="M218" s="7" t="s">
        <v>392</v>
      </c>
      <c r="N218" s="7" t="s">
        <v>949</v>
      </c>
      <c r="O218" s="7" t="s">
        <v>927</v>
      </c>
      <c r="P218" s="7" t="s">
        <v>925</v>
      </c>
      <c r="Q218" s="34">
        <v>44162</v>
      </c>
      <c r="R218" s="33" t="s">
        <v>317</v>
      </c>
      <c r="S218" s="33" t="s">
        <v>317</v>
      </c>
      <c r="T218" s="36">
        <v>37.627644966731303</v>
      </c>
      <c r="U218" s="33">
        <v>36</v>
      </c>
      <c r="V218" s="37">
        <f>-PV(Tabla1[[#This Row],[Tasa]],Tabla1[[#This Row],[Periodo]],Tabla1[[#This Row],[AVI]])</f>
        <v>17262670.768698201</v>
      </c>
      <c r="W218" s="37">
        <f>Tabla1[[#This Row],[V.I. Adj]]/1000000</f>
        <v>17.2626707686982</v>
      </c>
      <c r="X218" s="37">
        <v>1629474</v>
      </c>
      <c r="Y218" s="37">
        <v>154000</v>
      </c>
      <c r="Z218" s="54">
        <v>1783474</v>
      </c>
      <c r="AA218" s="54">
        <v>20</v>
      </c>
      <c r="AB218" s="55">
        <v>7.0000000000000007E-2</v>
      </c>
      <c r="AC218" s="7" t="s">
        <v>317</v>
      </c>
      <c r="AD218" s="7" t="s">
        <v>317</v>
      </c>
      <c r="AE218" s="7" t="s">
        <v>317</v>
      </c>
      <c r="AF218" s="7" t="s">
        <v>950</v>
      </c>
      <c r="AG218" s="40" t="s">
        <v>319</v>
      </c>
      <c r="AH218" s="41">
        <v>43614</v>
      </c>
      <c r="AI218" s="41">
        <v>43732</v>
      </c>
      <c r="AJ218" s="50" t="s">
        <v>317</v>
      </c>
      <c r="AK218" s="53" t="s">
        <v>317</v>
      </c>
      <c r="AM218" s="43" t="s">
        <v>950</v>
      </c>
    </row>
    <row r="219" spans="1:39" s="7" customFormat="1" x14ac:dyDescent="0.25">
      <c r="A219" s="7" t="str">
        <f>+MID(Tabla1[[#This Row],[N° Decreto
Expansión]],1,4)</f>
        <v>2020</v>
      </c>
      <c r="B219" s="7" t="str">
        <f>+RIGHT(Tabla1[[#This Row],[N° Decreto
Expansión]],3)</f>
        <v>171</v>
      </c>
      <c r="C219" s="32" t="s">
        <v>951</v>
      </c>
      <c r="D219" s="7" t="s">
        <v>307</v>
      </c>
      <c r="E219" s="7" t="s">
        <v>17</v>
      </c>
      <c r="F219" s="7" t="s">
        <v>308</v>
      </c>
      <c r="G219" s="45" t="s">
        <v>309</v>
      </c>
      <c r="H219" s="7" t="s">
        <v>310</v>
      </c>
      <c r="I219" s="7" t="s">
        <v>359</v>
      </c>
      <c r="J219" s="7">
        <v>1</v>
      </c>
      <c r="K219" s="33" t="s">
        <v>312</v>
      </c>
      <c r="L219" s="7" t="s">
        <v>320</v>
      </c>
      <c r="M219" s="7" t="s">
        <v>320</v>
      </c>
      <c r="N219" s="7" t="s">
        <v>952</v>
      </c>
      <c r="O219" s="7" t="s">
        <v>953</v>
      </c>
      <c r="P219" s="7" t="s">
        <v>637</v>
      </c>
      <c r="Q219" s="34">
        <v>44421</v>
      </c>
      <c r="R219" s="33" t="s">
        <v>317</v>
      </c>
      <c r="S219" s="33" t="s">
        <v>317</v>
      </c>
      <c r="T219" s="36">
        <v>4.2847939999999998</v>
      </c>
      <c r="U219" s="33">
        <v>24</v>
      </c>
      <c r="V219" s="37">
        <v>3236936.31</v>
      </c>
      <c r="W219" s="37">
        <f>Tabla1[[#This Row],[V.I. Adj]]/1000000</f>
        <v>3.2369363099999999</v>
      </c>
      <c r="X219" s="48" t="s">
        <v>317</v>
      </c>
      <c r="Y219" s="48" t="s">
        <v>317</v>
      </c>
      <c r="Z219" s="48" t="s">
        <v>317</v>
      </c>
      <c r="AA219" s="48" t="s">
        <v>317</v>
      </c>
      <c r="AB219" s="48" t="s">
        <v>317</v>
      </c>
      <c r="AC219" s="7" t="s">
        <v>954</v>
      </c>
      <c r="AD219" s="7" t="s">
        <v>317</v>
      </c>
      <c r="AE219" s="7" t="s">
        <v>317</v>
      </c>
      <c r="AF219" s="7" t="s">
        <v>955</v>
      </c>
      <c r="AG219" s="40" t="s">
        <v>319</v>
      </c>
      <c r="AH219" s="41">
        <v>44027</v>
      </c>
      <c r="AI219" s="41">
        <v>44088</v>
      </c>
      <c r="AJ219" s="50" t="s">
        <v>317</v>
      </c>
      <c r="AK219" s="42">
        <v>44475</v>
      </c>
      <c r="AM219" s="43"/>
    </row>
    <row r="220" spans="1:39" s="7" customFormat="1" x14ac:dyDescent="0.25">
      <c r="A220" s="7" t="str">
        <f>+MID(Tabla1[[#This Row],[N° Decreto
Expansión]],1,4)</f>
        <v>2020</v>
      </c>
      <c r="B220" s="7" t="str">
        <f>+RIGHT(Tabla1[[#This Row],[N° Decreto
Expansión]],3)</f>
        <v>171</v>
      </c>
      <c r="C220" s="32" t="s">
        <v>951</v>
      </c>
      <c r="D220" s="7" t="s">
        <v>562</v>
      </c>
      <c r="E220" s="7" t="s">
        <v>17</v>
      </c>
      <c r="F220" s="7" t="s">
        <v>308</v>
      </c>
      <c r="G220" s="45" t="s">
        <v>309</v>
      </c>
      <c r="H220" s="7" t="s">
        <v>310</v>
      </c>
      <c r="I220" s="7" t="s">
        <v>359</v>
      </c>
      <c r="J220" s="7">
        <v>1</v>
      </c>
      <c r="K220" s="33" t="s">
        <v>584</v>
      </c>
      <c r="L220" s="7" t="s">
        <v>320</v>
      </c>
      <c r="M220" s="7" t="s">
        <v>320</v>
      </c>
      <c r="N220" s="7" t="s">
        <v>956</v>
      </c>
      <c r="O220" s="7" t="s">
        <v>601</v>
      </c>
      <c r="P220" s="7" t="s">
        <v>637</v>
      </c>
      <c r="Q220" s="34">
        <v>44421</v>
      </c>
      <c r="R220" s="33" t="s">
        <v>317</v>
      </c>
      <c r="S220" s="33" t="s">
        <v>317</v>
      </c>
      <c r="T220" s="36">
        <v>9.9251950000000004</v>
      </c>
      <c r="U220" s="33">
        <v>30</v>
      </c>
      <c r="V220" s="37">
        <v>12980382.738424547</v>
      </c>
      <c r="W220" s="37">
        <f>Tabla1[[#This Row],[V.I. Adj]]/1000000</f>
        <v>12.980382738424547</v>
      </c>
      <c r="X220" s="48" t="s">
        <v>317</v>
      </c>
      <c r="Y220" s="48" t="s">
        <v>317</v>
      </c>
      <c r="Z220" s="48" t="s">
        <v>317</v>
      </c>
      <c r="AA220" s="48" t="s">
        <v>317</v>
      </c>
      <c r="AB220" s="48" t="s">
        <v>317</v>
      </c>
      <c r="AC220" s="7" t="s">
        <v>34</v>
      </c>
      <c r="AD220" s="7" t="s">
        <v>957</v>
      </c>
      <c r="AE220" s="7" t="s">
        <v>958</v>
      </c>
      <c r="AF220" s="7" t="s">
        <v>959</v>
      </c>
      <c r="AG220" s="40" t="s">
        <v>319</v>
      </c>
      <c r="AH220" s="41">
        <v>44027</v>
      </c>
      <c r="AI220" s="41">
        <v>44088</v>
      </c>
      <c r="AJ220" s="50" t="s">
        <v>317</v>
      </c>
      <c r="AK220" s="42">
        <v>44475</v>
      </c>
      <c r="AM220" s="43"/>
    </row>
    <row r="221" spans="1:39" s="7" customFormat="1" x14ac:dyDescent="0.25">
      <c r="A221" s="7" t="str">
        <f>+MID(Tabla1[[#This Row],[N° Decreto
Expansión]],1,4)</f>
        <v>2020</v>
      </c>
      <c r="B221" s="7" t="str">
        <f>+RIGHT(Tabla1[[#This Row],[N° Decreto
Expansión]],3)</f>
        <v>171</v>
      </c>
      <c r="C221" s="32" t="s">
        <v>951</v>
      </c>
      <c r="D221" s="7" t="s">
        <v>562</v>
      </c>
      <c r="E221" s="7" t="s">
        <v>17</v>
      </c>
      <c r="F221" s="7" t="s">
        <v>308</v>
      </c>
      <c r="G221" s="45" t="s">
        <v>309</v>
      </c>
      <c r="H221" s="7" t="s">
        <v>310</v>
      </c>
      <c r="I221" s="7" t="s">
        <v>359</v>
      </c>
      <c r="J221" s="7">
        <v>1</v>
      </c>
      <c r="K221" s="33" t="s">
        <v>33</v>
      </c>
      <c r="L221" s="7" t="s">
        <v>324</v>
      </c>
      <c r="M221" s="7" t="s">
        <v>324</v>
      </c>
      <c r="N221" s="7" t="s">
        <v>960</v>
      </c>
      <c r="O221" s="7" t="s">
        <v>601</v>
      </c>
      <c r="P221" s="7" t="s">
        <v>637</v>
      </c>
      <c r="Q221" s="34">
        <v>44421</v>
      </c>
      <c r="R221" s="33" t="s">
        <v>317</v>
      </c>
      <c r="S221" s="33" t="s">
        <v>317</v>
      </c>
      <c r="T221" s="36">
        <v>19.5648200954526</v>
      </c>
      <c r="U221" s="33">
        <v>36</v>
      </c>
      <c r="V221" s="37">
        <v>25568608.898648959</v>
      </c>
      <c r="W221" s="37">
        <f>Tabla1[[#This Row],[V.I. Adj]]/1000000</f>
        <v>25.568608898648957</v>
      </c>
      <c r="X221" s="48" t="s">
        <v>317</v>
      </c>
      <c r="Y221" s="48" t="s">
        <v>317</v>
      </c>
      <c r="Z221" s="48" t="s">
        <v>317</v>
      </c>
      <c r="AA221" s="48" t="s">
        <v>317</v>
      </c>
      <c r="AB221" s="48" t="s">
        <v>317</v>
      </c>
      <c r="AC221" s="7" t="s">
        <v>961</v>
      </c>
      <c r="AD221" s="7" t="s">
        <v>957</v>
      </c>
      <c r="AE221" s="7" t="s">
        <v>958</v>
      </c>
      <c r="AF221" s="7" t="s">
        <v>962</v>
      </c>
      <c r="AG221" s="40" t="s">
        <v>319</v>
      </c>
      <c r="AH221" s="41">
        <v>44027</v>
      </c>
      <c r="AI221" s="41">
        <v>44088</v>
      </c>
      <c r="AJ221" s="50" t="s">
        <v>317</v>
      </c>
      <c r="AK221" s="42">
        <v>44475</v>
      </c>
      <c r="AM221" s="43"/>
    </row>
    <row r="222" spans="1:39" s="7" customFormat="1" x14ac:dyDescent="0.25">
      <c r="A222" s="7" t="str">
        <f>+MID(Tabla1[[#This Row],[N° Decreto
Expansión]],1,4)</f>
        <v>2020</v>
      </c>
      <c r="B222" s="7" t="str">
        <f>+RIGHT(Tabla1[[#This Row],[N° Decreto
Expansión]],3)</f>
        <v>171</v>
      </c>
      <c r="C222" s="32" t="s">
        <v>951</v>
      </c>
      <c r="D222" s="7" t="s">
        <v>562</v>
      </c>
      <c r="E222" s="7" t="s">
        <v>17</v>
      </c>
      <c r="F222" s="7" t="s">
        <v>308</v>
      </c>
      <c r="G222" s="45" t="s">
        <v>309</v>
      </c>
      <c r="H222" s="7" t="s">
        <v>310</v>
      </c>
      <c r="I222" s="7" t="s">
        <v>359</v>
      </c>
      <c r="J222" s="7">
        <v>1</v>
      </c>
      <c r="K222" s="33" t="s">
        <v>584</v>
      </c>
      <c r="L222" s="7" t="s">
        <v>324</v>
      </c>
      <c r="M222" s="7" t="s">
        <v>324</v>
      </c>
      <c r="N222" s="7" t="s">
        <v>963</v>
      </c>
      <c r="O222" s="7" t="s">
        <v>601</v>
      </c>
      <c r="P222" s="7" t="s">
        <v>637</v>
      </c>
      <c r="Q222" s="34">
        <v>44421</v>
      </c>
      <c r="R222" s="33" t="s">
        <v>317</v>
      </c>
      <c r="S222" s="33" t="s">
        <v>317</v>
      </c>
      <c r="T222" s="36">
        <v>9.1998639999999998</v>
      </c>
      <c r="U222" s="33">
        <v>30</v>
      </c>
      <c r="V222" s="37">
        <v>12026135.064804213</v>
      </c>
      <c r="W222" s="37">
        <f>Tabla1[[#This Row],[V.I. Adj]]/1000000</f>
        <v>12.026135064804214</v>
      </c>
      <c r="X222" s="48" t="s">
        <v>317</v>
      </c>
      <c r="Y222" s="48" t="s">
        <v>317</v>
      </c>
      <c r="Z222" s="48" t="s">
        <v>317</v>
      </c>
      <c r="AA222" s="48" t="s">
        <v>317</v>
      </c>
      <c r="AB222" s="48" t="s">
        <v>317</v>
      </c>
      <c r="AC222" s="7" t="s">
        <v>964</v>
      </c>
      <c r="AD222" s="7" t="s">
        <v>957</v>
      </c>
      <c r="AE222" s="7" t="s">
        <v>958</v>
      </c>
      <c r="AF222" s="7" t="s">
        <v>965</v>
      </c>
      <c r="AG222" s="40" t="s">
        <v>319</v>
      </c>
      <c r="AH222" s="41">
        <v>44027</v>
      </c>
      <c r="AI222" s="41">
        <v>44088</v>
      </c>
      <c r="AJ222" s="50" t="s">
        <v>317</v>
      </c>
      <c r="AK222" s="42">
        <v>44475</v>
      </c>
      <c r="AM222" s="43"/>
    </row>
    <row r="223" spans="1:39" s="7" customFormat="1" x14ac:dyDescent="0.25">
      <c r="A223" s="7" t="str">
        <f>+MID(Tabla1[[#This Row],[N° Decreto
Expansión]],1,4)</f>
        <v>2020</v>
      </c>
      <c r="B223" s="7" t="str">
        <f>+RIGHT(Tabla1[[#This Row],[N° Decreto
Expansión]],3)</f>
        <v>171</v>
      </c>
      <c r="C223" s="32" t="s">
        <v>951</v>
      </c>
      <c r="D223" s="7" t="s">
        <v>562</v>
      </c>
      <c r="E223" s="7" t="s">
        <v>17</v>
      </c>
      <c r="F223" s="7" t="s">
        <v>308</v>
      </c>
      <c r="G223" s="45" t="s">
        <v>309</v>
      </c>
      <c r="H223" s="7" t="s">
        <v>310</v>
      </c>
      <c r="I223" s="7" t="s">
        <v>359</v>
      </c>
      <c r="J223" s="7">
        <v>1</v>
      </c>
      <c r="K223" s="33" t="s">
        <v>33</v>
      </c>
      <c r="L223" s="7" t="s">
        <v>324</v>
      </c>
      <c r="M223" s="7" t="s">
        <v>324</v>
      </c>
      <c r="N223" s="7" t="s">
        <v>966</v>
      </c>
      <c r="O223" s="7" t="s">
        <v>601</v>
      </c>
      <c r="P223" s="7" t="s">
        <v>637</v>
      </c>
      <c r="Q223" s="34">
        <v>44421</v>
      </c>
      <c r="R223" s="33" t="s">
        <v>317</v>
      </c>
      <c r="S223" s="33" t="s">
        <v>317</v>
      </c>
      <c r="T223" s="36">
        <v>4.97592180928544</v>
      </c>
      <c r="U223" s="33">
        <v>30</v>
      </c>
      <c r="V223" s="37">
        <v>6509799.1981222806</v>
      </c>
      <c r="W223" s="37">
        <f>Tabla1[[#This Row],[V.I. Adj]]/1000000</f>
        <v>6.5097991981222805</v>
      </c>
      <c r="X223" s="48" t="s">
        <v>317</v>
      </c>
      <c r="Y223" s="48" t="s">
        <v>317</v>
      </c>
      <c r="Z223" s="48" t="s">
        <v>317</v>
      </c>
      <c r="AA223" s="48" t="s">
        <v>317</v>
      </c>
      <c r="AB223" s="48" t="s">
        <v>317</v>
      </c>
      <c r="AC223" s="7" t="s">
        <v>565</v>
      </c>
      <c r="AD223" s="7" t="s">
        <v>957</v>
      </c>
      <c r="AE223" s="7" t="s">
        <v>317</v>
      </c>
      <c r="AF223" s="7" t="s">
        <v>967</v>
      </c>
      <c r="AG223" s="40" t="s">
        <v>319</v>
      </c>
      <c r="AH223" s="41">
        <v>44027</v>
      </c>
      <c r="AI223" s="41">
        <v>44088</v>
      </c>
      <c r="AJ223" s="50" t="s">
        <v>317</v>
      </c>
      <c r="AK223" s="42">
        <v>44475</v>
      </c>
      <c r="AM223" s="43"/>
    </row>
    <row r="224" spans="1:39" s="7" customFormat="1" x14ac:dyDescent="0.25">
      <c r="A224" s="7" t="str">
        <f>+MID(Tabla1[[#This Row],[N° Decreto
Expansión]],1,4)</f>
        <v>2020</v>
      </c>
      <c r="B224" s="7" t="str">
        <f>+RIGHT(Tabla1[[#This Row],[N° Decreto
Expansión]],3)</f>
        <v>171</v>
      </c>
      <c r="C224" s="32" t="s">
        <v>951</v>
      </c>
      <c r="D224" s="7" t="s">
        <v>562</v>
      </c>
      <c r="E224" s="7" t="s">
        <v>17</v>
      </c>
      <c r="F224" s="7" t="s">
        <v>308</v>
      </c>
      <c r="G224" s="45" t="s">
        <v>309</v>
      </c>
      <c r="H224" s="7" t="s">
        <v>310</v>
      </c>
      <c r="I224" s="7" t="s">
        <v>359</v>
      </c>
      <c r="J224" s="7">
        <v>1</v>
      </c>
      <c r="K224" s="33" t="s">
        <v>584</v>
      </c>
      <c r="L224" s="7" t="s">
        <v>338</v>
      </c>
      <c r="M224" s="7" t="s">
        <v>338</v>
      </c>
      <c r="N224" s="7" t="s">
        <v>968</v>
      </c>
      <c r="O224" s="7" t="s">
        <v>636</v>
      </c>
      <c r="P224" s="7" t="s">
        <v>637</v>
      </c>
      <c r="Q224" s="34">
        <v>44421</v>
      </c>
      <c r="R224" s="33" t="s">
        <v>317</v>
      </c>
      <c r="S224" s="33" t="s">
        <v>317</v>
      </c>
      <c r="T224" s="36">
        <v>6.3972887820568101</v>
      </c>
      <c r="U224" s="33">
        <v>30</v>
      </c>
      <c r="V224" s="37">
        <v>11804323.892752048</v>
      </c>
      <c r="W224" s="37">
        <f>Tabla1[[#This Row],[V.I. Adj]]/1000000</f>
        <v>11.804323892752048</v>
      </c>
      <c r="X224" s="48" t="s">
        <v>317</v>
      </c>
      <c r="Y224" s="48" t="s">
        <v>317</v>
      </c>
      <c r="Z224" s="48" t="s">
        <v>317</v>
      </c>
      <c r="AA224" s="48" t="s">
        <v>317</v>
      </c>
      <c r="AB224" s="48" t="s">
        <v>317</v>
      </c>
      <c r="AC224" s="7" t="s">
        <v>969</v>
      </c>
      <c r="AD224" s="7" t="s">
        <v>970</v>
      </c>
      <c r="AE224" s="7" t="s">
        <v>971</v>
      </c>
      <c r="AF224" s="7" t="s">
        <v>972</v>
      </c>
      <c r="AG224" s="40" t="s">
        <v>319</v>
      </c>
      <c r="AH224" s="41">
        <v>44027</v>
      </c>
      <c r="AI224" s="41">
        <v>44088</v>
      </c>
      <c r="AJ224" s="50" t="s">
        <v>317</v>
      </c>
      <c r="AK224" s="42">
        <v>44475</v>
      </c>
      <c r="AM224" s="43"/>
    </row>
    <row r="225" spans="1:39" s="7" customFormat="1" x14ac:dyDescent="0.25">
      <c r="A225" s="7" t="str">
        <f>+MID(Tabla1[[#This Row],[N° Decreto
Expansión]],1,4)</f>
        <v>2020</v>
      </c>
      <c r="B225" s="7" t="str">
        <f>+RIGHT(Tabla1[[#This Row],[N° Decreto
Expansión]],3)</f>
        <v>171</v>
      </c>
      <c r="C225" s="32" t="s">
        <v>951</v>
      </c>
      <c r="D225" s="7" t="s">
        <v>562</v>
      </c>
      <c r="E225" s="7" t="s">
        <v>17</v>
      </c>
      <c r="F225" s="7" t="s">
        <v>308</v>
      </c>
      <c r="G225" s="45" t="s">
        <v>309</v>
      </c>
      <c r="H225" s="7" t="s">
        <v>310</v>
      </c>
      <c r="I225" s="7" t="s">
        <v>359</v>
      </c>
      <c r="J225" s="7">
        <v>1</v>
      </c>
      <c r="K225" s="33" t="s">
        <v>33</v>
      </c>
      <c r="L225" s="7" t="s">
        <v>338</v>
      </c>
      <c r="M225" s="7" t="s">
        <v>338</v>
      </c>
      <c r="N225" s="7" t="s">
        <v>973</v>
      </c>
      <c r="O225" s="7" t="s">
        <v>636</v>
      </c>
      <c r="P225" s="7" t="s">
        <v>637</v>
      </c>
      <c r="Q225" s="34">
        <v>44421</v>
      </c>
      <c r="R225" s="33" t="s">
        <v>317</v>
      </c>
      <c r="S225" s="33" t="s">
        <v>317</v>
      </c>
      <c r="T225" s="36">
        <v>3.5814198633540459</v>
      </c>
      <c r="U225" s="33">
        <v>30</v>
      </c>
      <c r="V225" s="37">
        <v>6603043.6775081772</v>
      </c>
      <c r="W225" s="37">
        <f>Tabla1[[#This Row],[V.I. Adj]]/1000000</f>
        <v>6.6030436775081771</v>
      </c>
      <c r="X225" s="48" t="s">
        <v>317</v>
      </c>
      <c r="Y225" s="48" t="s">
        <v>317</v>
      </c>
      <c r="Z225" s="48" t="s">
        <v>317</v>
      </c>
      <c r="AA225" s="48" t="s">
        <v>317</v>
      </c>
      <c r="AB225" s="48" t="s">
        <v>317</v>
      </c>
      <c r="AC225" s="7" t="s">
        <v>34</v>
      </c>
      <c r="AD225" s="7" t="s">
        <v>970</v>
      </c>
      <c r="AE225" s="7" t="s">
        <v>971</v>
      </c>
      <c r="AF225" s="7" t="s">
        <v>974</v>
      </c>
      <c r="AG225" s="40" t="s">
        <v>319</v>
      </c>
      <c r="AH225" s="41">
        <v>44027</v>
      </c>
      <c r="AI225" s="41">
        <v>44088</v>
      </c>
      <c r="AJ225" s="50" t="s">
        <v>317</v>
      </c>
      <c r="AK225" s="53" t="s">
        <v>317</v>
      </c>
      <c r="AM225" s="43"/>
    </row>
    <row r="226" spans="1:39" s="7" customFormat="1" x14ac:dyDescent="0.25">
      <c r="A226" s="7" t="str">
        <f>+MID(Tabla1[[#This Row],[N° Decreto
Expansión]],1,4)</f>
        <v>2020</v>
      </c>
      <c r="B226" s="7" t="str">
        <f>+RIGHT(Tabla1[[#This Row],[N° Decreto
Expansión]],3)</f>
        <v>171</v>
      </c>
      <c r="C226" s="32" t="s">
        <v>951</v>
      </c>
      <c r="D226" s="7" t="s">
        <v>307</v>
      </c>
      <c r="E226" s="7" t="s">
        <v>17</v>
      </c>
      <c r="F226" s="7" t="s">
        <v>308</v>
      </c>
      <c r="G226" s="45" t="s">
        <v>309</v>
      </c>
      <c r="H226" s="7" t="s">
        <v>358</v>
      </c>
      <c r="I226" s="7" t="s">
        <v>359</v>
      </c>
      <c r="J226" s="7">
        <v>1</v>
      </c>
      <c r="K226" s="33" t="s">
        <v>33</v>
      </c>
      <c r="L226" s="7" t="s">
        <v>345</v>
      </c>
      <c r="M226" s="7" t="s">
        <v>345</v>
      </c>
      <c r="N226" s="7" t="s">
        <v>975</v>
      </c>
      <c r="O226" s="7" t="s">
        <v>361</v>
      </c>
      <c r="P226" s="7" t="s">
        <v>319</v>
      </c>
      <c r="Q226" s="33" t="s">
        <v>317</v>
      </c>
      <c r="R226" s="33" t="s">
        <v>317</v>
      </c>
      <c r="S226" s="33" t="s">
        <v>317</v>
      </c>
      <c r="T226" s="36">
        <v>0.37625700000000001</v>
      </c>
      <c r="U226" s="33">
        <v>24</v>
      </c>
      <c r="V226" s="46" t="s">
        <v>319</v>
      </c>
      <c r="W226" s="51" t="s">
        <v>319</v>
      </c>
      <c r="X226" s="48" t="s">
        <v>317</v>
      </c>
      <c r="Y226" s="48" t="s">
        <v>317</v>
      </c>
      <c r="Z226" s="48" t="s">
        <v>317</v>
      </c>
      <c r="AA226" s="48" t="s">
        <v>317</v>
      </c>
      <c r="AB226" s="48" t="s">
        <v>317</v>
      </c>
      <c r="AC226" s="7" t="s">
        <v>954</v>
      </c>
      <c r="AD226" s="7" t="s">
        <v>976</v>
      </c>
      <c r="AE226" s="7" t="s">
        <v>317</v>
      </c>
      <c r="AF226" s="7" t="s">
        <v>977</v>
      </c>
      <c r="AG226" s="40" t="s">
        <v>319</v>
      </c>
      <c r="AH226" s="41">
        <v>44027</v>
      </c>
      <c r="AI226" s="41">
        <v>44088</v>
      </c>
      <c r="AJ226" s="50" t="s">
        <v>317</v>
      </c>
      <c r="AK226" s="53" t="s">
        <v>317</v>
      </c>
      <c r="AM226" s="43"/>
    </row>
    <row r="227" spans="1:39" s="7" customFormat="1" x14ac:dyDescent="0.25">
      <c r="A227" s="7" t="str">
        <f>+MID(Tabla1[[#This Row],[N° Decreto
Expansión]],1,4)</f>
        <v>2020</v>
      </c>
      <c r="B227" s="7" t="str">
        <f>+RIGHT(Tabla1[[#This Row],[N° Decreto
Expansión]],3)</f>
        <v>171</v>
      </c>
      <c r="C227" s="32" t="s">
        <v>951</v>
      </c>
      <c r="D227" s="7" t="s">
        <v>307</v>
      </c>
      <c r="E227" s="7" t="s">
        <v>17</v>
      </c>
      <c r="F227" s="7" t="s">
        <v>308</v>
      </c>
      <c r="G227" s="45" t="s">
        <v>309</v>
      </c>
      <c r="H227" s="7" t="s">
        <v>358</v>
      </c>
      <c r="I227" s="7" t="s">
        <v>359</v>
      </c>
      <c r="J227" s="7">
        <v>1</v>
      </c>
      <c r="K227" s="33" t="s">
        <v>312</v>
      </c>
      <c r="L227" s="7" t="s">
        <v>345</v>
      </c>
      <c r="M227" s="7" t="s">
        <v>345</v>
      </c>
      <c r="N227" s="7" t="s">
        <v>978</v>
      </c>
      <c r="O227" s="7" t="s">
        <v>361</v>
      </c>
      <c r="P227" s="7" t="s">
        <v>319</v>
      </c>
      <c r="Q227" s="33" t="s">
        <v>317</v>
      </c>
      <c r="R227" s="33" t="s">
        <v>317</v>
      </c>
      <c r="S227" s="33" t="s">
        <v>317</v>
      </c>
      <c r="T227" s="36">
        <v>3.105321</v>
      </c>
      <c r="U227" s="33">
        <v>24</v>
      </c>
      <c r="V227" s="46" t="s">
        <v>319</v>
      </c>
      <c r="W227" s="51" t="s">
        <v>319</v>
      </c>
      <c r="X227" s="48" t="s">
        <v>317</v>
      </c>
      <c r="Y227" s="48" t="s">
        <v>317</v>
      </c>
      <c r="Z227" s="48" t="s">
        <v>317</v>
      </c>
      <c r="AA227" s="48" t="s">
        <v>317</v>
      </c>
      <c r="AB227" s="48" t="s">
        <v>317</v>
      </c>
      <c r="AC227" s="7" t="s">
        <v>58</v>
      </c>
      <c r="AD227" s="7" t="s">
        <v>976</v>
      </c>
      <c r="AE227" s="7" t="s">
        <v>317</v>
      </c>
      <c r="AF227" s="7" t="s">
        <v>979</v>
      </c>
      <c r="AG227" s="40" t="s">
        <v>319</v>
      </c>
      <c r="AH227" s="41">
        <v>44027</v>
      </c>
      <c r="AI227" s="41">
        <v>44088</v>
      </c>
      <c r="AJ227" s="50" t="s">
        <v>317</v>
      </c>
      <c r="AK227" s="53" t="s">
        <v>317</v>
      </c>
      <c r="AM227" s="43"/>
    </row>
    <row r="228" spans="1:39" s="7" customFormat="1" x14ac:dyDescent="0.25">
      <c r="A228" s="7" t="str">
        <f>+MID(Tabla1[[#This Row],[N° Decreto
Expansión]],1,4)</f>
        <v>2020</v>
      </c>
      <c r="B228" s="7" t="str">
        <f>+RIGHT(Tabla1[[#This Row],[N° Decreto
Expansión]],3)</f>
        <v>171</v>
      </c>
      <c r="C228" s="32" t="s">
        <v>951</v>
      </c>
      <c r="D228" s="7" t="s">
        <v>307</v>
      </c>
      <c r="E228" s="7" t="s">
        <v>17</v>
      </c>
      <c r="F228" s="7" t="s">
        <v>308</v>
      </c>
      <c r="G228" s="45" t="s">
        <v>309</v>
      </c>
      <c r="H228" s="7" t="s">
        <v>358</v>
      </c>
      <c r="I228" s="7" t="s">
        <v>359</v>
      </c>
      <c r="J228" s="7">
        <v>1</v>
      </c>
      <c r="K228" s="33" t="s">
        <v>312</v>
      </c>
      <c r="L228" s="7" t="s">
        <v>345</v>
      </c>
      <c r="M228" s="7" t="s">
        <v>345</v>
      </c>
      <c r="N228" s="7" t="s">
        <v>980</v>
      </c>
      <c r="O228" s="7" t="s">
        <v>361</v>
      </c>
      <c r="P228" s="7" t="s">
        <v>319</v>
      </c>
      <c r="Q228" s="33" t="s">
        <v>317</v>
      </c>
      <c r="R228" s="33" t="s">
        <v>317</v>
      </c>
      <c r="S228" s="33" t="s">
        <v>317</v>
      </c>
      <c r="T228" s="36">
        <v>0.94177200000000005</v>
      </c>
      <c r="U228" s="33">
        <v>18</v>
      </c>
      <c r="V228" s="46" t="s">
        <v>319</v>
      </c>
      <c r="W228" s="51" t="s">
        <v>319</v>
      </c>
      <c r="X228" s="48" t="s">
        <v>317</v>
      </c>
      <c r="Y228" s="48" t="s">
        <v>317</v>
      </c>
      <c r="Z228" s="48" t="s">
        <v>317</v>
      </c>
      <c r="AA228" s="48" t="s">
        <v>317</v>
      </c>
      <c r="AB228" s="48" t="s">
        <v>317</v>
      </c>
      <c r="AC228" s="7" t="s">
        <v>981</v>
      </c>
      <c r="AD228" s="7" t="s">
        <v>976</v>
      </c>
      <c r="AE228" s="7" t="s">
        <v>317</v>
      </c>
      <c r="AF228" s="7" t="s">
        <v>982</v>
      </c>
      <c r="AG228" s="40" t="s">
        <v>319</v>
      </c>
      <c r="AH228" s="41">
        <v>44027</v>
      </c>
      <c r="AI228" s="41">
        <v>44088</v>
      </c>
      <c r="AJ228" s="50" t="s">
        <v>317</v>
      </c>
      <c r="AK228" s="53" t="s">
        <v>317</v>
      </c>
      <c r="AM228" s="43"/>
    </row>
    <row r="229" spans="1:39" s="7" customFormat="1" x14ac:dyDescent="0.25">
      <c r="A229" s="7" t="str">
        <f>+MID(Tabla1[[#This Row],[N° Decreto
Expansión]],1,4)</f>
        <v>2020</v>
      </c>
      <c r="B229" s="7" t="str">
        <f>+RIGHT(Tabla1[[#This Row],[N° Decreto
Expansión]],3)</f>
        <v>171</v>
      </c>
      <c r="C229" s="32" t="s">
        <v>951</v>
      </c>
      <c r="D229" s="7" t="s">
        <v>307</v>
      </c>
      <c r="E229" s="7" t="s">
        <v>17</v>
      </c>
      <c r="F229" s="7" t="s">
        <v>308</v>
      </c>
      <c r="G229" s="45" t="s">
        <v>309</v>
      </c>
      <c r="H229" s="7" t="s">
        <v>358</v>
      </c>
      <c r="I229" s="7" t="s">
        <v>359</v>
      </c>
      <c r="J229" s="7">
        <v>1</v>
      </c>
      <c r="K229" s="33" t="s">
        <v>312</v>
      </c>
      <c r="L229" s="7" t="s">
        <v>345</v>
      </c>
      <c r="M229" s="7" t="s">
        <v>345</v>
      </c>
      <c r="N229" s="7" t="s">
        <v>983</v>
      </c>
      <c r="O229" s="7" t="s">
        <v>361</v>
      </c>
      <c r="P229" s="7" t="s">
        <v>319</v>
      </c>
      <c r="Q229" s="33" t="s">
        <v>317</v>
      </c>
      <c r="R229" s="33" t="s">
        <v>317</v>
      </c>
      <c r="S229" s="33" t="s">
        <v>317</v>
      </c>
      <c r="T229" s="36">
        <v>2.0319750000000001</v>
      </c>
      <c r="U229" s="33">
        <v>24</v>
      </c>
      <c r="V229" s="46" t="s">
        <v>319</v>
      </c>
      <c r="W229" s="51" t="s">
        <v>319</v>
      </c>
      <c r="X229" s="48" t="s">
        <v>317</v>
      </c>
      <c r="Y229" s="48" t="s">
        <v>317</v>
      </c>
      <c r="Z229" s="48" t="s">
        <v>317</v>
      </c>
      <c r="AA229" s="48" t="s">
        <v>317</v>
      </c>
      <c r="AB229" s="48" t="s">
        <v>317</v>
      </c>
      <c r="AC229" s="7" t="s">
        <v>984</v>
      </c>
      <c r="AD229" s="7" t="s">
        <v>976</v>
      </c>
      <c r="AE229" s="7" t="s">
        <v>317</v>
      </c>
      <c r="AF229" s="7" t="s">
        <v>985</v>
      </c>
      <c r="AG229" s="40" t="s">
        <v>319</v>
      </c>
      <c r="AH229" s="41">
        <v>44027</v>
      </c>
      <c r="AI229" s="41">
        <v>44088</v>
      </c>
      <c r="AJ229" s="50" t="s">
        <v>317</v>
      </c>
      <c r="AK229" s="42">
        <v>44475</v>
      </c>
      <c r="AM229" s="43"/>
    </row>
    <row r="230" spans="1:39" s="7" customFormat="1" x14ac:dyDescent="0.25">
      <c r="A230" s="7" t="str">
        <f>+MID(Tabla1[[#This Row],[N° Decreto
Expansión]],1,4)</f>
        <v>2020</v>
      </c>
      <c r="B230" s="7" t="str">
        <f>+RIGHT(Tabla1[[#This Row],[N° Decreto
Expansión]],3)</f>
        <v>171</v>
      </c>
      <c r="C230" s="32" t="s">
        <v>951</v>
      </c>
      <c r="D230" s="7" t="s">
        <v>307</v>
      </c>
      <c r="E230" s="7" t="s">
        <v>17</v>
      </c>
      <c r="F230" s="7" t="s">
        <v>308</v>
      </c>
      <c r="G230" s="45" t="s">
        <v>309</v>
      </c>
      <c r="H230" s="7" t="s">
        <v>310</v>
      </c>
      <c r="I230" s="7" t="s">
        <v>359</v>
      </c>
      <c r="J230" s="7">
        <v>1</v>
      </c>
      <c r="K230" s="33" t="s">
        <v>312</v>
      </c>
      <c r="L230" s="7" t="s">
        <v>345</v>
      </c>
      <c r="M230" s="7" t="s">
        <v>345</v>
      </c>
      <c r="N230" s="7" t="s">
        <v>986</v>
      </c>
      <c r="O230" s="7" t="s">
        <v>170</v>
      </c>
      <c r="P230" s="7" t="s">
        <v>637</v>
      </c>
      <c r="Q230" s="34">
        <v>44421</v>
      </c>
      <c r="R230" s="33" t="s">
        <v>317</v>
      </c>
      <c r="S230" s="33" t="s">
        <v>317</v>
      </c>
      <c r="T230" s="36">
        <v>0.35</v>
      </c>
      <c r="U230" s="33">
        <v>24</v>
      </c>
      <c r="V230" s="37">
        <v>447209</v>
      </c>
      <c r="W230" s="37">
        <f>Tabla1[[#This Row],[V.I. Adj]]/1000000</f>
        <v>0.44720900000000002</v>
      </c>
      <c r="X230" s="48" t="s">
        <v>317</v>
      </c>
      <c r="Y230" s="48" t="s">
        <v>317</v>
      </c>
      <c r="Z230" s="48" t="s">
        <v>317</v>
      </c>
      <c r="AA230" s="48" t="s">
        <v>317</v>
      </c>
      <c r="AB230" s="48" t="s">
        <v>317</v>
      </c>
      <c r="AC230" s="7" t="s">
        <v>500</v>
      </c>
      <c r="AD230" s="7" t="s">
        <v>987</v>
      </c>
      <c r="AE230" s="7" t="s">
        <v>317</v>
      </c>
      <c r="AF230" s="7" t="s">
        <v>988</v>
      </c>
      <c r="AG230" s="40" t="s">
        <v>319</v>
      </c>
      <c r="AH230" s="41">
        <v>44027</v>
      </c>
      <c r="AI230" s="41">
        <v>44088</v>
      </c>
      <c r="AJ230" s="50" t="s">
        <v>317</v>
      </c>
      <c r="AK230" s="42">
        <v>44475</v>
      </c>
      <c r="AM230" s="43"/>
    </row>
    <row r="231" spans="1:39" s="7" customFormat="1" x14ac:dyDescent="0.25">
      <c r="A231" s="7" t="str">
        <f>+MID(Tabla1[[#This Row],[N° Decreto
Expansión]],1,4)</f>
        <v>2020</v>
      </c>
      <c r="B231" s="7" t="str">
        <f>+RIGHT(Tabla1[[#This Row],[N° Decreto
Expansión]],3)</f>
        <v>171</v>
      </c>
      <c r="C231" s="32" t="s">
        <v>951</v>
      </c>
      <c r="D231" s="7" t="s">
        <v>307</v>
      </c>
      <c r="E231" s="7" t="s">
        <v>17</v>
      </c>
      <c r="F231" s="7" t="s">
        <v>308</v>
      </c>
      <c r="G231" s="45" t="s">
        <v>309</v>
      </c>
      <c r="H231" s="7" t="s">
        <v>310</v>
      </c>
      <c r="I231" s="7" t="s">
        <v>359</v>
      </c>
      <c r="J231" s="7">
        <v>1</v>
      </c>
      <c r="K231" s="33" t="s">
        <v>312</v>
      </c>
      <c r="L231" s="7" t="s">
        <v>345</v>
      </c>
      <c r="M231" s="7" t="s">
        <v>345</v>
      </c>
      <c r="N231" s="7" t="s">
        <v>989</v>
      </c>
      <c r="O231" s="7" t="s">
        <v>170</v>
      </c>
      <c r="P231" s="7" t="s">
        <v>637</v>
      </c>
      <c r="Q231" s="34">
        <v>44421</v>
      </c>
      <c r="R231" s="33" t="s">
        <v>317</v>
      </c>
      <c r="S231" s="33" t="s">
        <v>317</v>
      </c>
      <c r="T231" s="36">
        <v>4.1545259999999997</v>
      </c>
      <c r="U231" s="33">
        <v>24</v>
      </c>
      <c r="V231" s="37">
        <v>5302621</v>
      </c>
      <c r="W231" s="37">
        <f>Tabla1[[#This Row],[V.I. Adj]]/1000000</f>
        <v>5.3026210000000003</v>
      </c>
      <c r="X231" s="48" t="s">
        <v>317</v>
      </c>
      <c r="Y231" s="48" t="s">
        <v>317</v>
      </c>
      <c r="Z231" s="48" t="s">
        <v>317</v>
      </c>
      <c r="AA231" s="48" t="s">
        <v>317</v>
      </c>
      <c r="AB231" s="48" t="s">
        <v>317</v>
      </c>
      <c r="AC231" s="7" t="s">
        <v>58</v>
      </c>
      <c r="AD231" s="7" t="s">
        <v>987</v>
      </c>
      <c r="AE231" s="7" t="s">
        <v>317</v>
      </c>
      <c r="AF231" s="7" t="s">
        <v>990</v>
      </c>
      <c r="AG231" s="40" t="s">
        <v>319</v>
      </c>
      <c r="AH231" s="41">
        <v>44027</v>
      </c>
      <c r="AI231" s="41">
        <v>44088</v>
      </c>
      <c r="AJ231" s="50" t="s">
        <v>317</v>
      </c>
      <c r="AK231" s="42">
        <v>44475</v>
      </c>
      <c r="AM231" s="43"/>
    </row>
    <row r="232" spans="1:39" s="7" customFormat="1" x14ac:dyDescent="0.25">
      <c r="A232" s="7" t="str">
        <f>+MID(Tabla1[[#This Row],[N° Decreto
Expansión]],1,4)</f>
        <v>2020</v>
      </c>
      <c r="B232" s="7" t="str">
        <f>+RIGHT(Tabla1[[#This Row],[N° Decreto
Expansión]],3)</f>
        <v>171</v>
      </c>
      <c r="C232" s="32" t="s">
        <v>951</v>
      </c>
      <c r="D232" s="7" t="s">
        <v>307</v>
      </c>
      <c r="E232" s="7" t="s">
        <v>17</v>
      </c>
      <c r="F232" s="7" t="s">
        <v>308</v>
      </c>
      <c r="G232" s="45" t="s">
        <v>309</v>
      </c>
      <c r="H232" s="7" t="s">
        <v>310</v>
      </c>
      <c r="I232" s="7" t="s">
        <v>359</v>
      </c>
      <c r="J232" s="7">
        <v>1</v>
      </c>
      <c r="K232" s="33" t="s">
        <v>33</v>
      </c>
      <c r="L232" s="7" t="s">
        <v>345</v>
      </c>
      <c r="M232" s="7" t="s">
        <v>345</v>
      </c>
      <c r="N232" s="7" t="s">
        <v>991</v>
      </c>
      <c r="O232" s="7" t="s">
        <v>692</v>
      </c>
      <c r="P232" s="7" t="s">
        <v>637</v>
      </c>
      <c r="Q232" s="34">
        <v>44421</v>
      </c>
      <c r="R232" s="33" t="s">
        <v>317</v>
      </c>
      <c r="S232" s="33" t="s">
        <v>317</v>
      </c>
      <c r="T232" s="36">
        <v>2.25</v>
      </c>
      <c r="U232" s="33">
        <v>24</v>
      </c>
      <c r="V232" s="37">
        <v>2479605.7553956835</v>
      </c>
      <c r="W232" s="37">
        <f>Tabla1[[#This Row],[V.I. Adj]]/1000000</f>
        <v>2.4796057553956836</v>
      </c>
      <c r="X232" s="48" t="s">
        <v>317</v>
      </c>
      <c r="Y232" s="48" t="s">
        <v>317</v>
      </c>
      <c r="Z232" s="48" t="s">
        <v>317</v>
      </c>
      <c r="AA232" s="48" t="s">
        <v>317</v>
      </c>
      <c r="AB232" s="48" t="s">
        <v>317</v>
      </c>
      <c r="AC232" s="7" t="s">
        <v>927</v>
      </c>
      <c r="AD232" s="7" t="s">
        <v>992</v>
      </c>
      <c r="AE232" s="7" t="s">
        <v>317</v>
      </c>
      <c r="AF232" s="7" t="s">
        <v>993</v>
      </c>
      <c r="AG232" s="40" t="s">
        <v>319</v>
      </c>
      <c r="AH232" s="41">
        <v>44027</v>
      </c>
      <c r="AI232" s="41">
        <v>44088</v>
      </c>
      <c r="AJ232" s="50" t="s">
        <v>317</v>
      </c>
      <c r="AK232" s="42">
        <v>44475</v>
      </c>
      <c r="AM232" s="43"/>
    </row>
    <row r="233" spans="1:39" s="7" customFormat="1" x14ac:dyDescent="0.25">
      <c r="A233" s="7" t="str">
        <f>+MID(Tabla1[[#This Row],[N° Decreto
Expansión]],1,4)</f>
        <v>2020</v>
      </c>
      <c r="B233" s="7" t="str">
        <f>+RIGHT(Tabla1[[#This Row],[N° Decreto
Expansión]],3)</f>
        <v>171</v>
      </c>
      <c r="C233" s="32" t="s">
        <v>951</v>
      </c>
      <c r="D233" s="7" t="s">
        <v>307</v>
      </c>
      <c r="E233" s="7" t="s">
        <v>17</v>
      </c>
      <c r="F233" s="7" t="s">
        <v>308</v>
      </c>
      <c r="G233" s="45" t="s">
        <v>309</v>
      </c>
      <c r="H233" s="7" t="s">
        <v>310</v>
      </c>
      <c r="I233" s="7" t="s">
        <v>359</v>
      </c>
      <c r="J233" s="7">
        <v>1</v>
      </c>
      <c r="K233" s="33" t="s">
        <v>33</v>
      </c>
      <c r="L233" s="7" t="s">
        <v>345</v>
      </c>
      <c r="M233" s="7" t="s">
        <v>345</v>
      </c>
      <c r="N233" s="7" t="s">
        <v>994</v>
      </c>
      <c r="O233" s="7" t="s">
        <v>692</v>
      </c>
      <c r="P233" s="7" t="s">
        <v>637</v>
      </c>
      <c r="Q233" s="34">
        <v>44421</v>
      </c>
      <c r="R233" s="33" t="s">
        <v>317</v>
      </c>
      <c r="S233" s="33" t="s">
        <v>317</v>
      </c>
      <c r="T233" s="36">
        <v>1.92</v>
      </c>
      <c r="U233" s="33">
        <v>24</v>
      </c>
      <c r="V233" s="37">
        <v>2115930.2446043165</v>
      </c>
      <c r="W233" s="37">
        <f>Tabla1[[#This Row],[V.I. Adj]]/1000000</f>
        <v>2.1159302446043164</v>
      </c>
      <c r="X233" s="48" t="s">
        <v>317</v>
      </c>
      <c r="Y233" s="48" t="s">
        <v>317</v>
      </c>
      <c r="Z233" s="48" t="s">
        <v>317</v>
      </c>
      <c r="AA233" s="48" t="s">
        <v>317</v>
      </c>
      <c r="AB233" s="48" t="s">
        <v>317</v>
      </c>
      <c r="AC233" s="7" t="s">
        <v>927</v>
      </c>
      <c r="AD233" s="7" t="s">
        <v>992</v>
      </c>
      <c r="AE233" s="7" t="s">
        <v>317</v>
      </c>
      <c r="AF233" s="7" t="s">
        <v>995</v>
      </c>
      <c r="AG233" s="40" t="s">
        <v>319</v>
      </c>
      <c r="AH233" s="41">
        <v>44027</v>
      </c>
      <c r="AI233" s="41">
        <v>44088</v>
      </c>
      <c r="AJ233" s="50" t="s">
        <v>317</v>
      </c>
      <c r="AK233" s="42">
        <v>44475</v>
      </c>
      <c r="AM233" s="43"/>
    </row>
    <row r="234" spans="1:39" s="7" customFormat="1" x14ac:dyDescent="0.25">
      <c r="A234" s="7" t="str">
        <f>+MID(Tabla1[[#This Row],[N° Decreto
Expansión]],1,4)</f>
        <v>2020</v>
      </c>
      <c r="B234" s="7" t="str">
        <f>+RIGHT(Tabla1[[#This Row],[N° Decreto
Expansión]],3)</f>
        <v>171</v>
      </c>
      <c r="C234" s="32" t="s">
        <v>951</v>
      </c>
      <c r="D234" s="7" t="s">
        <v>562</v>
      </c>
      <c r="E234" s="7" t="s">
        <v>17</v>
      </c>
      <c r="F234" s="7" t="s">
        <v>308</v>
      </c>
      <c r="G234" s="45" t="s">
        <v>309</v>
      </c>
      <c r="H234" s="7" t="s">
        <v>310</v>
      </c>
      <c r="I234" s="7" t="s">
        <v>359</v>
      </c>
      <c r="J234" s="7">
        <v>1</v>
      </c>
      <c r="K234" s="33" t="s">
        <v>312</v>
      </c>
      <c r="L234" s="7" t="s">
        <v>355</v>
      </c>
      <c r="M234" s="7" t="s">
        <v>355</v>
      </c>
      <c r="N234" s="7" t="s">
        <v>996</v>
      </c>
      <c r="O234" s="7" t="s">
        <v>170</v>
      </c>
      <c r="P234" s="7" t="s">
        <v>637</v>
      </c>
      <c r="Q234" s="34">
        <v>44421</v>
      </c>
      <c r="R234" s="33" t="s">
        <v>317</v>
      </c>
      <c r="S234" s="33" t="s">
        <v>317</v>
      </c>
      <c r="T234" s="36">
        <v>0.7</v>
      </c>
      <c r="U234" s="33">
        <v>21</v>
      </c>
      <c r="V234" s="37">
        <v>759151.97580645164</v>
      </c>
      <c r="W234" s="37">
        <f>Tabla1[[#This Row],[V.I. Adj]]/1000000</f>
        <v>0.75915197580645166</v>
      </c>
      <c r="X234" s="48" t="s">
        <v>317</v>
      </c>
      <c r="Y234" s="48" t="s">
        <v>317</v>
      </c>
      <c r="Z234" s="48" t="s">
        <v>317</v>
      </c>
      <c r="AA234" s="48" t="s">
        <v>317</v>
      </c>
      <c r="AB234" s="48" t="s">
        <v>317</v>
      </c>
      <c r="AC234" s="7" t="s">
        <v>34</v>
      </c>
      <c r="AD234" s="7" t="s">
        <v>997</v>
      </c>
      <c r="AE234" s="7" t="s">
        <v>317</v>
      </c>
      <c r="AF234" s="7" t="s">
        <v>998</v>
      </c>
      <c r="AG234" s="40" t="s">
        <v>319</v>
      </c>
      <c r="AH234" s="41">
        <v>44027</v>
      </c>
      <c r="AI234" s="41">
        <v>44088</v>
      </c>
      <c r="AJ234" s="50" t="s">
        <v>317</v>
      </c>
      <c r="AK234" s="42">
        <v>44475</v>
      </c>
      <c r="AM234" s="43"/>
    </row>
    <row r="235" spans="1:39" s="7" customFormat="1" x14ac:dyDescent="0.25">
      <c r="A235" s="7" t="str">
        <f>+MID(Tabla1[[#This Row],[N° Decreto
Expansión]],1,4)</f>
        <v>2020</v>
      </c>
      <c r="B235" s="7" t="str">
        <f>+RIGHT(Tabla1[[#This Row],[N° Decreto
Expansión]],3)</f>
        <v>171</v>
      </c>
      <c r="C235" s="32" t="s">
        <v>951</v>
      </c>
      <c r="D235" s="7" t="s">
        <v>562</v>
      </c>
      <c r="E235" s="7" t="s">
        <v>17</v>
      </c>
      <c r="F235" s="7" t="s">
        <v>308</v>
      </c>
      <c r="G235" s="45" t="s">
        <v>309</v>
      </c>
      <c r="H235" s="7" t="s">
        <v>310</v>
      </c>
      <c r="I235" s="7" t="s">
        <v>359</v>
      </c>
      <c r="J235" s="7">
        <v>1</v>
      </c>
      <c r="K235" s="33" t="s">
        <v>312</v>
      </c>
      <c r="L235" s="7" t="s">
        <v>355</v>
      </c>
      <c r="M235" s="7" t="s">
        <v>355</v>
      </c>
      <c r="N235" s="7" t="s">
        <v>999</v>
      </c>
      <c r="O235" s="7" t="s">
        <v>170</v>
      </c>
      <c r="P235" s="7" t="s">
        <v>637</v>
      </c>
      <c r="Q235" s="34">
        <v>44421</v>
      </c>
      <c r="R235" s="33" t="s">
        <v>317</v>
      </c>
      <c r="S235" s="33" t="s">
        <v>317</v>
      </c>
      <c r="T235" s="36">
        <v>1.78</v>
      </c>
      <c r="U235" s="33">
        <v>21</v>
      </c>
      <c r="V235" s="37">
        <v>1930415.0241935484</v>
      </c>
      <c r="W235" s="37">
        <f>Tabla1[[#This Row],[V.I. Adj]]/1000000</f>
        <v>1.9304150241935483</v>
      </c>
      <c r="X235" s="48" t="s">
        <v>317</v>
      </c>
      <c r="Y235" s="48" t="s">
        <v>317</v>
      </c>
      <c r="Z235" s="48" t="s">
        <v>317</v>
      </c>
      <c r="AA235" s="48" t="s">
        <v>317</v>
      </c>
      <c r="AB235" s="48" t="s">
        <v>317</v>
      </c>
      <c r="AC235" s="7" t="s">
        <v>34</v>
      </c>
      <c r="AD235" s="7" t="s">
        <v>997</v>
      </c>
      <c r="AE235" s="7" t="s">
        <v>317</v>
      </c>
      <c r="AF235" s="7" t="s">
        <v>1000</v>
      </c>
      <c r="AG235" s="40" t="s">
        <v>319</v>
      </c>
      <c r="AH235" s="41">
        <v>44027</v>
      </c>
      <c r="AI235" s="41">
        <v>44088</v>
      </c>
      <c r="AJ235" s="50" t="s">
        <v>317</v>
      </c>
      <c r="AK235" s="42">
        <v>44475</v>
      </c>
      <c r="AM235" s="43"/>
    </row>
    <row r="236" spans="1:39" s="7" customFormat="1" x14ac:dyDescent="0.25">
      <c r="A236" s="7" t="str">
        <f>+MID(Tabla1[[#This Row],[N° Decreto
Expansión]],1,4)</f>
        <v>2020</v>
      </c>
      <c r="B236" s="7" t="str">
        <f>+RIGHT(Tabla1[[#This Row],[N° Decreto
Expansión]],3)</f>
        <v>171</v>
      </c>
      <c r="C236" s="32" t="s">
        <v>951</v>
      </c>
      <c r="D236" s="7" t="s">
        <v>307</v>
      </c>
      <c r="E236" s="7" t="s">
        <v>17</v>
      </c>
      <c r="F236" s="7" t="s">
        <v>308</v>
      </c>
      <c r="G236" s="45" t="s">
        <v>309</v>
      </c>
      <c r="H236" s="7" t="s">
        <v>310</v>
      </c>
      <c r="I236" s="7" t="s">
        <v>359</v>
      </c>
      <c r="J236" s="7">
        <v>1</v>
      </c>
      <c r="K236" s="33" t="s">
        <v>312</v>
      </c>
      <c r="L236" s="7" t="s">
        <v>355</v>
      </c>
      <c r="M236" s="7" t="s">
        <v>355</v>
      </c>
      <c r="N236" s="7" t="s">
        <v>1001</v>
      </c>
      <c r="O236" s="7" t="s">
        <v>445</v>
      </c>
      <c r="P236" s="7" t="s">
        <v>637</v>
      </c>
      <c r="Q236" s="34">
        <v>44421</v>
      </c>
      <c r="R236" s="33" t="s">
        <v>317</v>
      </c>
      <c r="S236" s="33" t="s">
        <v>317</v>
      </c>
      <c r="T236" s="36">
        <v>3.936633</v>
      </c>
      <c r="U236" s="33">
        <v>24</v>
      </c>
      <c r="V236" s="37">
        <v>4824769.0003464669</v>
      </c>
      <c r="W236" s="37">
        <f>Tabla1[[#This Row],[V.I. Adj]]/1000000</f>
        <v>4.8247690003464667</v>
      </c>
      <c r="X236" s="48" t="s">
        <v>317</v>
      </c>
      <c r="Y236" s="48" t="s">
        <v>317</v>
      </c>
      <c r="Z236" s="48" t="s">
        <v>317</v>
      </c>
      <c r="AA236" s="48" t="s">
        <v>317</v>
      </c>
      <c r="AB236" s="48" t="s">
        <v>317</v>
      </c>
      <c r="AC236" s="7" t="s">
        <v>1002</v>
      </c>
      <c r="AD236" s="7" t="s">
        <v>1003</v>
      </c>
      <c r="AE236" s="7" t="s">
        <v>1004</v>
      </c>
      <c r="AF236" s="7" t="s">
        <v>1005</v>
      </c>
      <c r="AG236" s="40" t="s">
        <v>319</v>
      </c>
      <c r="AH236" s="41">
        <v>44027</v>
      </c>
      <c r="AI236" s="41">
        <v>44088</v>
      </c>
      <c r="AJ236" s="50" t="s">
        <v>317</v>
      </c>
      <c r="AK236" s="42">
        <v>44475</v>
      </c>
      <c r="AM236" s="43"/>
    </row>
    <row r="237" spans="1:39" s="7" customFormat="1" x14ac:dyDescent="0.25">
      <c r="A237" s="7" t="str">
        <f>+MID(Tabla1[[#This Row],[N° Decreto
Expansión]],1,4)</f>
        <v>2020</v>
      </c>
      <c r="B237" s="7" t="str">
        <f>+RIGHT(Tabla1[[#This Row],[N° Decreto
Expansión]],3)</f>
        <v>171</v>
      </c>
      <c r="C237" s="32" t="s">
        <v>951</v>
      </c>
      <c r="D237" s="7" t="s">
        <v>307</v>
      </c>
      <c r="E237" s="7" t="s">
        <v>17</v>
      </c>
      <c r="F237" s="7" t="s">
        <v>308</v>
      </c>
      <c r="G237" s="45" t="s">
        <v>309</v>
      </c>
      <c r="H237" s="7" t="s">
        <v>310</v>
      </c>
      <c r="I237" s="7" t="s">
        <v>359</v>
      </c>
      <c r="J237" s="7">
        <v>1</v>
      </c>
      <c r="K237" s="33" t="s">
        <v>312</v>
      </c>
      <c r="L237" s="7" t="s">
        <v>355</v>
      </c>
      <c r="M237" s="7" t="s">
        <v>355</v>
      </c>
      <c r="N237" s="7" t="s">
        <v>1006</v>
      </c>
      <c r="O237" s="7" t="s">
        <v>445</v>
      </c>
      <c r="P237" s="7" t="s">
        <v>637</v>
      </c>
      <c r="Q237" s="34">
        <v>44421</v>
      </c>
      <c r="R237" s="33" t="s">
        <v>317</v>
      </c>
      <c r="S237" s="33" t="s">
        <v>317</v>
      </c>
      <c r="T237" s="36">
        <v>3.3300079999999999</v>
      </c>
      <c r="U237" s="33">
        <v>24</v>
      </c>
      <c r="V237" s="37">
        <v>4077786.997754755</v>
      </c>
      <c r="W237" s="37">
        <f>Tabla1[[#This Row],[V.I. Adj]]/1000000</f>
        <v>4.0777869977547549</v>
      </c>
      <c r="X237" s="48" t="s">
        <v>317</v>
      </c>
      <c r="Y237" s="48" t="s">
        <v>317</v>
      </c>
      <c r="Z237" s="48" t="s">
        <v>317</v>
      </c>
      <c r="AA237" s="48" t="s">
        <v>317</v>
      </c>
      <c r="AB237" s="48" t="s">
        <v>317</v>
      </c>
      <c r="AC237" s="7" t="s">
        <v>1002</v>
      </c>
      <c r="AD237" s="7" t="s">
        <v>1003</v>
      </c>
      <c r="AE237" s="7" t="s">
        <v>1004</v>
      </c>
      <c r="AF237" s="7" t="s">
        <v>1007</v>
      </c>
      <c r="AG237" s="40" t="s">
        <v>319</v>
      </c>
      <c r="AH237" s="41">
        <v>44027</v>
      </c>
      <c r="AI237" s="41">
        <v>44088</v>
      </c>
      <c r="AJ237" s="50" t="s">
        <v>317</v>
      </c>
      <c r="AK237" s="42">
        <v>44475</v>
      </c>
      <c r="AM237" s="43"/>
    </row>
    <row r="238" spans="1:39" s="7" customFormat="1" x14ac:dyDescent="0.25">
      <c r="A238" s="7" t="str">
        <f>+MID(Tabla1[[#This Row],[N° Decreto
Expansión]],1,4)</f>
        <v>2020</v>
      </c>
      <c r="B238" s="7" t="str">
        <f>+RIGHT(Tabla1[[#This Row],[N° Decreto
Expansión]],3)</f>
        <v>171</v>
      </c>
      <c r="C238" s="32" t="s">
        <v>951</v>
      </c>
      <c r="D238" s="7" t="s">
        <v>307</v>
      </c>
      <c r="E238" s="7" t="s">
        <v>17</v>
      </c>
      <c r="F238" s="7" t="s">
        <v>308</v>
      </c>
      <c r="G238" s="45" t="s">
        <v>309</v>
      </c>
      <c r="H238" s="7" t="s">
        <v>310</v>
      </c>
      <c r="I238" s="7" t="s">
        <v>359</v>
      </c>
      <c r="J238" s="7">
        <v>1</v>
      </c>
      <c r="K238" s="33" t="s">
        <v>312</v>
      </c>
      <c r="L238" s="7" t="s">
        <v>355</v>
      </c>
      <c r="M238" s="7" t="s">
        <v>355</v>
      </c>
      <c r="N238" s="7" t="s">
        <v>1008</v>
      </c>
      <c r="O238" s="7" t="s">
        <v>445</v>
      </c>
      <c r="P238" s="7" t="s">
        <v>637</v>
      </c>
      <c r="Q238" s="34">
        <v>44421</v>
      </c>
      <c r="R238" s="33" t="s">
        <v>317</v>
      </c>
      <c r="S238" s="33" t="s">
        <v>317</v>
      </c>
      <c r="T238" s="36">
        <v>6.4175040000000001</v>
      </c>
      <c r="U238" s="33">
        <v>24</v>
      </c>
      <c r="V238" s="37">
        <v>7861679.4371127719</v>
      </c>
      <c r="W238" s="37">
        <f>Tabla1[[#This Row],[V.I. Adj]]/1000000</f>
        <v>7.8616794371127723</v>
      </c>
      <c r="X238" s="48" t="s">
        <v>317</v>
      </c>
      <c r="Y238" s="48" t="s">
        <v>317</v>
      </c>
      <c r="Z238" s="48" t="s">
        <v>317</v>
      </c>
      <c r="AA238" s="48" t="s">
        <v>317</v>
      </c>
      <c r="AB238" s="48" t="s">
        <v>317</v>
      </c>
      <c r="AC238" s="7" t="s">
        <v>1002</v>
      </c>
      <c r="AD238" s="7" t="s">
        <v>1003</v>
      </c>
      <c r="AE238" s="7" t="s">
        <v>1009</v>
      </c>
      <c r="AF238" s="7" t="s">
        <v>1010</v>
      </c>
      <c r="AG238" s="40" t="s">
        <v>319</v>
      </c>
      <c r="AH238" s="41">
        <v>44027</v>
      </c>
      <c r="AI238" s="41">
        <v>44088</v>
      </c>
      <c r="AJ238" s="50" t="s">
        <v>317</v>
      </c>
      <c r="AK238" s="42">
        <v>44475</v>
      </c>
      <c r="AM238" s="43"/>
    </row>
    <row r="239" spans="1:39" s="7" customFormat="1" x14ac:dyDescent="0.25">
      <c r="A239" s="7" t="str">
        <f>+MID(Tabla1[[#This Row],[N° Decreto
Expansión]],1,4)</f>
        <v>2020</v>
      </c>
      <c r="B239" s="7" t="str">
        <f>+RIGHT(Tabla1[[#This Row],[N° Decreto
Expansión]],3)</f>
        <v>171</v>
      </c>
      <c r="C239" s="32" t="s">
        <v>951</v>
      </c>
      <c r="D239" s="7" t="s">
        <v>307</v>
      </c>
      <c r="E239" s="7" t="s">
        <v>17</v>
      </c>
      <c r="F239" s="7" t="s">
        <v>308</v>
      </c>
      <c r="G239" s="45" t="s">
        <v>309</v>
      </c>
      <c r="H239" s="7" t="s">
        <v>310</v>
      </c>
      <c r="I239" s="7" t="s">
        <v>359</v>
      </c>
      <c r="J239" s="7">
        <v>1</v>
      </c>
      <c r="K239" s="33" t="s">
        <v>312</v>
      </c>
      <c r="L239" s="7" t="s">
        <v>355</v>
      </c>
      <c r="M239" s="7" t="s">
        <v>355</v>
      </c>
      <c r="N239" s="7" t="s">
        <v>1011</v>
      </c>
      <c r="O239" s="7" t="s">
        <v>445</v>
      </c>
      <c r="P239" s="7" t="s">
        <v>637</v>
      </c>
      <c r="Q239" s="34">
        <v>44421</v>
      </c>
      <c r="R239" s="33" t="s">
        <v>317</v>
      </c>
      <c r="S239" s="33" t="s">
        <v>317</v>
      </c>
      <c r="T239" s="36">
        <v>3.648215</v>
      </c>
      <c r="U239" s="33">
        <v>24</v>
      </c>
      <c r="V239" s="37">
        <v>4469646.4089504071</v>
      </c>
      <c r="W239" s="37">
        <f>Tabla1[[#This Row],[V.I. Adj]]/1000000</f>
        <v>4.4696464089504069</v>
      </c>
      <c r="X239" s="48" t="s">
        <v>317</v>
      </c>
      <c r="Y239" s="48" t="s">
        <v>317</v>
      </c>
      <c r="Z239" s="48" t="s">
        <v>317</v>
      </c>
      <c r="AA239" s="48" t="s">
        <v>317</v>
      </c>
      <c r="AB239" s="48" t="s">
        <v>317</v>
      </c>
      <c r="AC239" s="7" t="s">
        <v>1002</v>
      </c>
      <c r="AD239" s="7" t="s">
        <v>1003</v>
      </c>
      <c r="AE239" s="7" t="s">
        <v>1009</v>
      </c>
      <c r="AF239" s="7" t="s">
        <v>1012</v>
      </c>
      <c r="AG239" s="40" t="s">
        <v>319</v>
      </c>
      <c r="AH239" s="41">
        <v>44027</v>
      </c>
      <c r="AI239" s="41">
        <v>44088</v>
      </c>
      <c r="AJ239" s="50" t="s">
        <v>317</v>
      </c>
      <c r="AK239" s="42">
        <v>44475</v>
      </c>
      <c r="AM239" s="43"/>
    </row>
    <row r="240" spans="1:39" s="7" customFormat="1" x14ac:dyDescent="0.25">
      <c r="A240" s="7" t="str">
        <f>+MID(Tabla1[[#This Row],[N° Decreto
Expansión]],1,4)</f>
        <v>2020</v>
      </c>
      <c r="B240" s="7" t="str">
        <f>+RIGHT(Tabla1[[#This Row],[N° Decreto
Expansión]],3)</f>
        <v>171</v>
      </c>
      <c r="C240" s="32" t="s">
        <v>951</v>
      </c>
      <c r="D240" s="7" t="s">
        <v>307</v>
      </c>
      <c r="E240" s="7" t="s">
        <v>17</v>
      </c>
      <c r="F240" s="7" t="s">
        <v>308</v>
      </c>
      <c r="G240" s="45" t="s">
        <v>309</v>
      </c>
      <c r="H240" s="7" t="s">
        <v>310</v>
      </c>
      <c r="I240" s="7" t="s">
        <v>359</v>
      </c>
      <c r="J240" s="7">
        <v>1</v>
      </c>
      <c r="K240" s="33" t="s">
        <v>312</v>
      </c>
      <c r="L240" s="7" t="s">
        <v>355</v>
      </c>
      <c r="M240" s="7" t="s">
        <v>355</v>
      </c>
      <c r="N240" s="7" t="s">
        <v>1013</v>
      </c>
      <c r="O240" s="7" t="s">
        <v>445</v>
      </c>
      <c r="P240" s="7" t="s">
        <v>637</v>
      </c>
      <c r="Q240" s="34">
        <v>44421</v>
      </c>
      <c r="R240" s="33" t="s">
        <v>317</v>
      </c>
      <c r="S240" s="33" t="s">
        <v>317</v>
      </c>
      <c r="T240" s="36">
        <v>2.8134489999999999</v>
      </c>
      <c r="U240" s="33">
        <v>24</v>
      </c>
      <c r="V240" s="37">
        <v>3441015.4545618207</v>
      </c>
      <c r="W240" s="37">
        <f>Tabla1[[#This Row],[V.I. Adj]]/1000000</f>
        <v>3.4410154545618208</v>
      </c>
      <c r="X240" s="48" t="s">
        <v>317</v>
      </c>
      <c r="Y240" s="48" t="s">
        <v>317</v>
      </c>
      <c r="Z240" s="48" t="s">
        <v>317</v>
      </c>
      <c r="AA240" s="48" t="s">
        <v>317</v>
      </c>
      <c r="AB240" s="48" t="s">
        <v>317</v>
      </c>
      <c r="AC240" s="7" t="s">
        <v>1002</v>
      </c>
      <c r="AD240" s="7" t="s">
        <v>1003</v>
      </c>
      <c r="AE240" s="7" t="s">
        <v>1014</v>
      </c>
      <c r="AF240" s="7" t="s">
        <v>1015</v>
      </c>
      <c r="AG240" s="40" t="s">
        <v>319</v>
      </c>
      <c r="AH240" s="41">
        <v>44027</v>
      </c>
      <c r="AI240" s="41">
        <v>44088</v>
      </c>
      <c r="AJ240" s="50" t="s">
        <v>317</v>
      </c>
      <c r="AK240" s="42">
        <v>44475</v>
      </c>
      <c r="AM240" s="43"/>
    </row>
    <row r="241" spans="1:39" s="7" customFormat="1" x14ac:dyDescent="0.25">
      <c r="A241" s="7" t="str">
        <f>+MID(Tabla1[[#This Row],[N° Decreto
Expansión]],1,4)</f>
        <v>2020</v>
      </c>
      <c r="B241" s="7" t="str">
        <f>+RIGHT(Tabla1[[#This Row],[N° Decreto
Expansión]],3)</f>
        <v>171</v>
      </c>
      <c r="C241" s="32" t="s">
        <v>951</v>
      </c>
      <c r="D241" s="7" t="s">
        <v>307</v>
      </c>
      <c r="E241" s="7" t="s">
        <v>17</v>
      </c>
      <c r="F241" s="7" t="s">
        <v>308</v>
      </c>
      <c r="G241" s="45" t="s">
        <v>309</v>
      </c>
      <c r="H241" s="7" t="s">
        <v>310</v>
      </c>
      <c r="I241" s="7" t="s">
        <v>359</v>
      </c>
      <c r="J241" s="7">
        <v>1</v>
      </c>
      <c r="K241" s="33" t="s">
        <v>312</v>
      </c>
      <c r="L241" s="7" t="s">
        <v>355</v>
      </c>
      <c r="M241" s="7" t="s">
        <v>355</v>
      </c>
      <c r="N241" s="7" t="s">
        <v>1016</v>
      </c>
      <c r="O241" s="7" t="s">
        <v>445</v>
      </c>
      <c r="P241" s="7" t="s">
        <v>637</v>
      </c>
      <c r="Q241" s="34">
        <v>44421</v>
      </c>
      <c r="R241" s="33" t="s">
        <v>317</v>
      </c>
      <c r="S241" s="33" t="s">
        <v>317</v>
      </c>
      <c r="T241" s="36">
        <v>4.6352219999999997</v>
      </c>
      <c r="U241" s="33">
        <v>24</v>
      </c>
      <c r="V241" s="37">
        <v>5681961.4623369565</v>
      </c>
      <c r="W241" s="37">
        <f>Tabla1[[#This Row],[V.I. Adj]]/1000000</f>
        <v>5.6819614623369565</v>
      </c>
      <c r="X241" s="48" t="s">
        <v>317</v>
      </c>
      <c r="Y241" s="48" t="s">
        <v>317</v>
      </c>
      <c r="Z241" s="48" t="s">
        <v>317</v>
      </c>
      <c r="AA241" s="48" t="s">
        <v>317</v>
      </c>
      <c r="AB241" s="48" t="s">
        <v>317</v>
      </c>
      <c r="AC241" s="7" t="s">
        <v>1002</v>
      </c>
      <c r="AD241" s="7" t="s">
        <v>1003</v>
      </c>
      <c r="AE241" s="7" t="s">
        <v>1014</v>
      </c>
      <c r="AF241" s="7" t="s">
        <v>1017</v>
      </c>
      <c r="AG241" s="40" t="s">
        <v>319</v>
      </c>
      <c r="AH241" s="41">
        <v>44027</v>
      </c>
      <c r="AI241" s="41">
        <v>44088</v>
      </c>
      <c r="AJ241" s="50" t="s">
        <v>317</v>
      </c>
      <c r="AK241" s="42">
        <v>44475</v>
      </c>
      <c r="AM241" s="43"/>
    </row>
    <row r="242" spans="1:39" s="7" customFormat="1" x14ac:dyDescent="0.25">
      <c r="A242" s="7" t="str">
        <f>+MID(Tabla1[[#This Row],[N° Decreto
Expansión]],1,4)</f>
        <v>2020</v>
      </c>
      <c r="B242" s="7" t="str">
        <f>+RIGHT(Tabla1[[#This Row],[N° Decreto
Expansión]],3)</f>
        <v>171</v>
      </c>
      <c r="C242" s="32" t="s">
        <v>951</v>
      </c>
      <c r="D242" s="7" t="s">
        <v>307</v>
      </c>
      <c r="E242" s="7" t="s">
        <v>17</v>
      </c>
      <c r="F242" s="7" t="s">
        <v>308</v>
      </c>
      <c r="G242" s="45" t="s">
        <v>309</v>
      </c>
      <c r="H242" s="7" t="s">
        <v>310</v>
      </c>
      <c r="I242" s="7" t="s">
        <v>359</v>
      </c>
      <c r="J242" s="7">
        <v>1</v>
      </c>
      <c r="K242" s="33" t="s">
        <v>312</v>
      </c>
      <c r="L242" s="7" t="s">
        <v>355</v>
      </c>
      <c r="M242" s="7" t="s">
        <v>355</v>
      </c>
      <c r="N242" s="7" t="s">
        <v>1018</v>
      </c>
      <c r="O242" s="7" t="s">
        <v>445</v>
      </c>
      <c r="P242" s="7" t="s">
        <v>637</v>
      </c>
      <c r="Q242" s="34">
        <v>44421</v>
      </c>
      <c r="R242" s="33" t="s">
        <v>317</v>
      </c>
      <c r="S242" s="33" t="s">
        <v>317</v>
      </c>
      <c r="T242" s="36">
        <v>4.6500000000000004</v>
      </c>
      <c r="U242" s="33">
        <v>24</v>
      </c>
      <c r="V242" s="37">
        <v>5694207.0689368201</v>
      </c>
      <c r="W242" s="37">
        <f>Tabla1[[#This Row],[V.I. Adj]]/1000000</f>
        <v>5.6942070689368203</v>
      </c>
      <c r="X242" s="48" t="s">
        <v>317</v>
      </c>
      <c r="Y242" s="48" t="s">
        <v>317</v>
      </c>
      <c r="Z242" s="48" t="s">
        <v>317</v>
      </c>
      <c r="AA242" s="48" t="s">
        <v>317</v>
      </c>
      <c r="AB242" s="48" t="s">
        <v>317</v>
      </c>
      <c r="AC242" s="7" t="s">
        <v>1002</v>
      </c>
      <c r="AD242" s="7" t="s">
        <v>1003</v>
      </c>
      <c r="AE242" s="7" t="s">
        <v>1014</v>
      </c>
      <c r="AF242" s="7" t="s">
        <v>1019</v>
      </c>
      <c r="AG242" s="40" t="s">
        <v>319</v>
      </c>
      <c r="AH242" s="41">
        <v>44027</v>
      </c>
      <c r="AI242" s="41">
        <v>44088</v>
      </c>
      <c r="AJ242" s="50" t="s">
        <v>317</v>
      </c>
      <c r="AK242" s="42">
        <v>44475</v>
      </c>
      <c r="AM242" s="43"/>
    </row>
    <row r="243" spans="1:39" s="7" customFormat="1" x14ac:dyDescent="0.25">
      <c r="A243" s="7" t="str">
        <f>+MID(Tabla1[[#This Row],[N° Decreto
Expansión]],1,4)</f>
        <v>2020</v>
      </c>
      <c r="B243" s="7" t="str">
        <f>+RIGHT(Tabla1[[#This Row],[N° Decreto
Expansión]],3)</f>
        <v>171</v>
      </c>
      <c r="C243" s="32" t="s">
        <v>951</v>
      </c>
      <c r="D243" s="7" t="s">
        <v>307</v>
      </c>
      <c r="E243" s="7" t="s">
        <v>17</v>
      </c>
      <c r="F243" s="7" t="s">
        <v>308</v>
      </c>
      <c r="G243" s="45" t="s">
        <v>309</v>
      </c>
      <c r="H243" s="7" t="s">
        <v>310</v>
      </c>
      <c r="I243" s="7" t="s">
        <v>359</v>
      </c>
      <c r="J243" s="7">
        <v>1</v>
      </c>
      <c r="K243" s="33" t="s">
        <v>584</v>
      </c>
      <c r="L243" s="7" t="s">
        <v>392</v>
      </c>
      <c r="M243" s="7" t="s">
        <v>392</v>
      </c>
      <c r="N243" s="7" t="s">
        <v>1020</v>
      </c>
      <c r="O243" s="7" t="s">
        <v>692</v>
      </c>
      <c r="P243" s="7" t="s">
        <v>637</v>
      </c>
      <c r="Q243" s="34">
        <v>44421</v>
      </c>
      <c r="R243" s="33" t="s">
        <v>317</v>
      </c>
      <c r="S243" s="33" t="s">
        <v>317</v>
      </c>
      <c r="T243" s="36">
        <v>3.29</v>
      </c>
      <c r="U243" s="33">
        <v>24</v>
      </c>
      <c r="V243" s="37">
        <v>6604941.6802619677</v>
      </c>
      <c r="W243" s="37">
        <f>Tabla1[[#This Row],[V.I. Adj]]/1000000</f>
        <v>6.6049416802619678</v>
      </c>
      <c r="X243" s="48" t="s">
        <v>317</v>
      </c>
      <c r="Y243" s="48" t="s">
        <v>317</v>
      </c>
      <c r="Z243" s="48" t="s">
        <v>317</v>
      </c>
      <c r="AA243" s="48" t="s">
        <v>317</v>
      </c>
      <c r="AB243" s="48" t="s">
        <v>317</v>
      </c>
      <c r="AC243" s="7" t="s">
        <v>954</v>
      </c>
      <c r="AD243" s="7" t="s">
        <v>1021</v>
      </c>
      <c r="AE243" s="7" t="s">
        <v>317</v>
      </c>
      <c r="AF243" s="7" t="s">
        <v>1022</v>
      </c>
      <c r="AG243" s="40" t="s">
        <v>319</v>
      </c>
      <c r="AH243" s="41">
        <v>44027</v>
      </c>
      <c r="AI243" s="41">
        <v>44088</v>
      </c>
      <c r="AJ243" s="50" t="s">
        <v>317</v>
      </c>
      <c r="AK243" s="42">
        <v>44475</v>
      </c>
      <c r="AM243" s="43"/>
    </row>
    <row r="244" spans="1:39" s="7" customFormat="1" x14ac:dyDescent="0.25">
      <c r="A244" s="7" t="str">
        <f>+MID(Tabla1[[#This Row],[N° Decreto
Expansión]],1,4)</f>
        <v>2020</v>
      </c>
      <c r="B244" s="7" t="str">
        <f>+RIGHT(Tabla1[[#This Row],[N° Decreto
Expansión]],3)</f>
        <v>171</v>
      </c>
      <c r="C244" s="32" t="s">
        <v>951</v>
      </c>
      <c r="D244" s="7" t="s">
        <v>307</v>
      </c>
      <c r="E244" s="7" t="s">
        <v>17</v>
      </c>
      <c r="F244" s="7" t="s">
        <v>308</v>
      </c>
      <c r="G244" s="45" t="s">
        <v>309</v>
      </c>
      <c r="H244" s="7" t="s">
        <v>310</v>
      </c>
      <c r="I244" s="7" t="s">
        <v>359</v>
      </c>
      <c r="J244" s="7">
        <v>1</v>
      </c>
      <c r="K244" s="33" t="s">
        <v>312</v>
      </c>
      <c r="L244" s="7" t="s">
        <v>392</v>
      </c>
      <c r="M244" s="7" t="s">
        <v>392</v>
      </c>
      <c r="N244" s="7" t="s">
        <v>1023</v>
      </c>
      <c r="O244" s="7" t="s">
        <v>692</v>
      </c>
      <c r="P244" s="7" t="s">
        <v>637</v>
      </c>
      <c r="Q244" s="34">
        <v>44421</v>
      </c>
      <c r="R244" s="33" t="s">
        <v>317</v>
      </c>
      <c r="S244" s="33" t="s">
        <v>317</v>
      </c>
      <c r="T244" s="36">
        <v>2.1224310000000002</v>
      </c>
      <c r="U244" s="33">
        <v>24</v>
      </c>
      <c r="V244" s="37">
        <v>4256071.8426004173</v>
      </c>
      <c r="W244" s="37">
        <f>Tabla1[[#This Row],[V.I. Adj]]/1000000</f>
        <v>4.2560718426004174</v>
      </c>
      <c r="X244" s="48" t="s">
        <v>317</v>
      </c>
      <c r="Y244" s="48" t="s">
        <v>317</v>
      </c>
      <c r="Z244" s="48" t="s">
        <v>317</v>
      </c>
      <c r="AA244" s="48" t="s">
        <v>317</v>
      </c>
      <c r="AB244" s="48" t="s">
        <v>317</v>
      </c>
      <c r="AC244" s="7" t="s">
        <v>954</v>
      </c>
      <c r="AD244" s="7" t="s">
        <v>1021</v>
      </c>
      <c r="AE244" s="7" t="s">
        <v>1024</v>
      </c>
      <c r="AF244" s="7" t="s">
        <v>1025</v>
      </c>
      <c r="AG244" s="40" t="s">
        <v>319</v>
      </c>
      <c r="AH244" s="41">
        <v>44027</v>
      </c>
      <c r="AI244" s="41">
        <v>44088</v>
      </c>
      <c r="AJ244" s="50" t="s">
        <v>317</v>
      </c>
      <c r="AK244" s="42">
        <v>44475</v>
      </c>
      <c r="AM244" s="43"/>
    </row>
    <row r="245" spans="1:39" s="7" customFormat="1" x14ac:dyDescent="0.25">
      <c r="A245" s="7" t="str">
        <f>+MID(Tabla1[[#This Row],[N° Decreto
Expansión]],1,4)</f>
        <v>2020</v>
      </c>
      <c r="B245" s="7" t="str">
        <f>+RIGHT(Tabla1[[#This Row],[N° Decreto
Expansión]],3)</f>
        <v>171</v>
      </c>
      <c r="C245" s="32" t="s">
        <v>951</v>
      </c>
      <c r="D245" s="7" t="s">
        <v>307</v>
      </c>
      <c r="E245" s="7" t="s">
        <v>17</v>
      </c>
      <c r="F245" s="7" t="s">
        <v>308</v>
      </c>
      <c r="G245" s="45" t="s">
        <v>309</v>
      </c>
      <c r="H245" s="7" t="s">
        <v>358</v>
      </c>
      <c r="I245" s="7" t="s">
        <v>359</v>
      </c>
      <c r="J245" s="7">
        <v>1</v>
      </c>
      <c r="K245" s="33" t="s">
        <v>312</v>
      </c>
      <c r="L245" s="7" t="s">
        <v>408</v>
      </c>
      <c r="M245" s="7" t="s">
        <v>408</v>
      </c>
      <c r="N245" s="7" t="s">
        <v>1026</v>
      </c>
      <c r="O245" s="7" t="s">
        <v>361</v>
      </c>
      <c r="P245" s="7" t="s">
        <v>319</v>
      </c>
      <c r="Q245" s="33" t="s">
        <v>317</v>
      </c>
      <c r="R245" s="33" t="s">
        <v>317</v>
      </c>
      <c r="S245" s="33" t="s">
        <v>317</v>
      </c>
      <c r="T245" s="36">
        <v>3.918806</v>
      </c>
      <c r="U245" s="33">
        <v>24</v>
      </c>
      <c r="V245" s="46" t="s">
        <v>319</v>
      </c>
      <c r="W245" s="51" t="s">
        <v>319</v>
      </c>
      <c r="X245" s="48" t="s">
        <v>317</v>
      </c>
      <c r="Y245" s="48" t="s">
        <v>317</v>
      </c>
      <c r="Z245" s="48" t="s">
        <v>317</v>
      </c>
      <c r="AA245" s="48" t="s">
        <v>317</v>
      </c>
      <c r="AB245" s="48" t="s">
        <v>317</v>
      </c>
      <c r="AC245" s="7" t="s">
        <v>954</v>
      </c>
      <c r="AD245" s="7" t="s">
        <v>1027</v>
      </c>
      <c r="AE245" s="7" t="s">
        <v>1028</v>
      </c>
      <c r="AF245" s="7" t="s">
        <v>1029</v>
      </c>
      <c r="AG245" s="40" t="s">
        <v>319</v>
      </c>
      <c r="AH245" s="41">
        <v>44027</v>
      </c>
      <c r="AI245" s="41">
        <v>44088</v>
      </c>
      <c r="AJ245" s="50" t="s">
        <v>317</v>
      </c>
      <c r="AK245" s="53" t="s">
        <v>317</v>
      </c>
      <c r="AM245" s="43"/>
    </row>
    <row r="246" spans="1:39" s="7" customFormat="1" x14ac:dyDescent="0.25">
      <c r="A246" s="7" t="str">
        <f>+MID(Tabla1[[#This Row],[N° Decreto
Expansión]],1,4)</f>
        <v>2020</v>
      </c>
      <c r="B246" s="7" t="str">
        <f>+RIGHT(Tabla1[[#This Row],[N° Decreto
Expansión]],3)</f>
        <v>171</v>
      </c>
      <c r="C246" s="32" t="s">
        <v>951</v>
      </c>
      <c r="D246" s="7" t="s">
        <v>307</v>
      </c>
      <c r="E246" s="7" t="s">
        <v>17</v>
      </c>
      <c r="F246" s="7" t="s">
        <v>308</v>
      </c>
      <c r="G246" s="45" t="s">
        <v>309</v>
      </c>
      <c r="H246" s="7" t="s">
        <v>358</v>
      </c>
      <c r="I246" s="7" t="s">
        <v>359</v>
      </c>
      <c r="J246" s="7">
        <v>1</v>
      </c>
      <c r="K246" s="33" t="s">
        <v>312</v>
      </c>
      <c r="L246" s="7" t="s">
        <v>408</v>
      </c>
      <c r="M246" s="7" t="s">
        <v>408</v>
      </c>
      <c r="N246" s="7" t="s">
        <v>1030</v>
      </c>
      <c r="O246" s="7" t="s">
        <v>361</v>
      </c>
      <c r="P246" s="7" t="s">
        <v>319</v>
      </c>
      <c r="Q246" s="33" t="s">
        <v>317</v>
      </c>
      <c r="R246" s="33" t="s">
        <v>317</v>
      </c>
      <c r="S246" s="33" t="s">
        <v>317</v>
      </c>
      <c r="T246" s="36">
        <v>2.76</v>
      </c>
      <c r="U246" s="33">
        <v>24</v>
      </c>
      <c r="V246" s="46" t="s">
        <v>319</v>
      </c>
      <c r="W246" s="51" t="s">
        <v>319</v>
      </c>
      <c r="X246" s="48" t="s">
        <v>317</v>
      </c>
      <c r="Y246" s="48" t="s">
        <v>317</v>
      </c>
      <c r="Z246" s="48" t="s">
        <v>317</v>
      </c>
      <c r="AA246" s="48" t="s">
        <v>317</v>
      </c>
      <c r="AB246" s="48" t="s">
        <v>317</v>
      </c>
      <c r="AC246" s="7" t="s">
        <v>954</v>
      </c>
      <c r="AD246" s="7" t="s">
        <v>1027</v>
      </c>
      <c r="AE246" s="7" t="s">
        <v>1031</v>
      </c>
      <c r="AF246" s="7" t="s">
        <v>1032</v>
      </c>
      <c r="AG246" s="40" t="s">
        <v>319</v>
      </c>
      <c r="AH246" s="41">
        <v>44027</v>
      </c>
      <c r="AI246" s="41">
        <v>44088</v>
      </c>
      <c r="AJ246" s="50" t="s">
        <v>317</v>
      </c>
      <c r="AK246" s="53" t="s">
        <v>317</v>
      </c>
      <c r="AM246" s="43"/>
    </row>
    <row r="247" spans="1:39" s="7" customFormat="1" x14ac:dyDescent="0.25">
      <c r="A247" s="7" t="str">
        <f>+MID(Tabla1[[#This Row],[N° Decreto
Expansión]],1,4)</f>
        <v>2020</v>
      </c>
      <c r="B247" s="7" t="str">
        <f>+RIGHT(Tabla1[[#This Row],[N° Decreto
Expansión]],3)</f>
        <v>171</v>
      </c>
      <c r="C247" s="32" t="s">
        <v>951</v>
      </c>
      <c r="D247" s="7" t="s">
        <v>307</v>
      </c>
      <c r="E247" s="7" t="s">
        <v>17</v>
      </c>
      <c r="F247" s="7" t="s">
        <v>308</v>
      </c>
      <c r="G247" s="45" t="s">
        <v>309</v>
      </c>
      <c r="H247" s="7" t="s">
        <v>310</v>
      </c>
      <c r="I247" s="7" t="s">
        <v>359</v>
      </c>
      <c r="J247" s="7">
        <v>1</v>
      </c>
      <c r="K247" s="33" t="s">
        <v>312</v>
      </c>
      <c r="L247" s="7" t="s">
        <v>432</v>
      </c>
      <c r="M247" s="7" t="s">
        <v>432</v>
      </c>
      <c r="N247" s="7" t="s">
        <v>1033</v>
      </c>
      <c r="O247" s="7" t="s">
        <v>1034</v>
      </c>
      <c r="P247" s="7" t="s">
        <v>637</v>
      </c>
      <c r="Q247" s="34">
        <v>44421</v>
      </c>
      <c r="R247" s="33" t="s">
        <v>317</v>
      </c>
      <c r="S247" s="33" t="s">
        <v>317</v>
      </c>
      <c r="T247" s="36">
        <v>3.03</v>
      </c>
      <c r="U247" s="33">
        <v>24</v>
      </c>
      <c r="V247" s="37">
        <v>5001356.1017964073</v>
      </c>
      <c r="W247" s="37">
        <f>Tabla1[[#This Row],[V.I. Adj]]/1000000</f>
        <v>5.0013561017964072</v>
      </c>
      <c r="X247" s="48" t="s">
        <v>317</v>
      </c>
      <c r="Y247" s="48" t="s">
        <v>317</v>
      </c>
      <c r="Z247" s="48" t="s">
        <v>317</v>
      </c>
      <c r="AA247" s="48" t="s">
        <v>317</v>
      </c>
      <c r="AB247" s="48" t="s">
        <v>317</v>
      </c>
      <c r="AC247" s="7" t="s">
        <v>954</v>
      </c>
      <c r="AD247" s="7" t="s">
        <v>1035</v>
      </c>
      <c r="AE247" s="7" t="s">
        <v>317</v>
      </c>
      <c r="AF247" s="7" t="s">
        <v>1036</v>
      </c>
      <c r="AG247" s="40" t="s">
        <v>319</v>
      </c>
      <c r="AH247" s="41">
        <v>44027</v>
      </c>
      <c r="AI247" s="41">
        <v>44088</v>
      </c>
      <c r="AJ247" s="50" t="s">
        <v>317</v>
      </c>
      <c r="AK247" s="42">
        <v>44475</v>
      </c>
      <c r="AM247" s="43"/>
    </row>
    <row r="248" spans="1:39" s="7" customFormat="1" x14ac:dyDescent="0.25">
      <c r="A248" s="7" t="str">
        <f>+MID(Tabla1[[#This Row],[N° Decreto
Expansión]],1,4)</f>
        <v>2020</v>
      </c>
      <c r="B248" s="7" t="str">
        <f>+RIGHT(Tabla1[[#This Row],[N° Decreto
Expansión]],3)</f>
        <v>171</v>
      </c>
      <c r="C248" s="32" t="s">
        <v>951</v>
      </c>
      <c r="D248" s="7" t="s">
        <v>307</v>
      </c>
      <c r="E248" s="7" t="s">
        <v>17</v>
      </c>
      <c r="F248" s="7" t="s">
        <v>308</v>
      </c>
      <c r="G248" s="45" t="s">
        <v>309</v>
      </c>
      <c r="H248" s="7" t="s">
        <v>310</v>
      </c>
      <c r="I248" s="7" t="s">
        <v>359</v>
      </c>
      <c r="J248" s="7">
        <v>1</v>
      </c>
      <c r="K248" s="33" t="s">
        <v>312</v>
      </c>
      <c r="L248" s="7" t="s">
        <v>443</v>
      </c>
      <c r="M248" s="7" t="s">
        <v>443</v>
      </c>
      <c r="N248" s="7" t="s">
        <v>1037</v>
      </c>
      <c r="O248" s="7" t="s">
        <v>1038</v>
      </c>
      <c r="P248" s="7" t="s">
        <v>637</v>
      </c>
      <c r="Q248" s="34">
        <v>44421</v>
      </c>
      <c r="R248" s="33" t="s">
        <v>317</v>
      </c>
      <c r="S248" s="33" t="s">
        <v>317</v>
      </c>
      <c r="T248" s="36">
        <v>1.6347670000000001</v>
      </c>
      <c r="U248" s="33">
        <v>24</v>
      </c>
      <c r="V248" s="37">
        <v>2690498.4970059879</v>
      </c>
      <c r="W248" s="37">
        <f>Tabla1[[#This Row],[V.I. Adj]]/1000000</f>
        <v>2.6904984970059878</v>
      </c>
      <c r="X248" s="48" t="s">
        <v>317</v>
      </c>
      <c r="Y248" s="48" t="s">
        <v>317</v>
      </c>
      <c r="Z248" s="48" t="s">
        <v>317</v>
      </c>
      <c r="AA248" s="48" t="s">
        <v>317</v>
      </c>
      <c r="AB248" s="48" t="s">
        <v>317</v>
      </c>
      <c r="AC248" s="7" t="s">
        <v>954</v>
      </c>
      <c r="AD248" s="7" t="s">
        <v>1035</v>
      </c>
      <c r="AE248" s="7" t="s">
        <v>1039</v>
      </c>
      <c r="AF248" s="7" t="s">
        <v>1040</v>
      </c>
      <c r="AG248" s="40" t="s">
        <v>319</v>
      </c>
      <c r="AH248" s="41">
        <v>44027</v>
      </c>
      <c r="AI248" s="41">
        <v>44088</v>
      </c>
      <c r="AJ248" s="50" t="s">
        <v>317</v>
      </c>
      <c r="AK248" s="42">
        <v>44475</v>
      </c>
      <c r="AM248" s="43"/>
    </row>
    <row r="249" spans="1:39" s="7" customFormat="1" x14ac:dyDescent="0.25">
      <c r="A249" s="7" t="str">
        <f>+MID(Tabla1[[#This Row],[N° Decreto
Expansión]],1,4)</f>
        <v>2020</v>
      </c>
      <c r="B249" s="7" t="str">
        <f>+RIGHT(Tabla1[[#This Row],[N° Decreto
Expansión]],3)</f>
        <v>171</v>
      </c>
      <c r="C249" s="32" t="s">
        <v>951</v>
      </c>
      <c r="D249" s="7" t="s">
        <v>307</v>
      </c>
      <c r="E249" s="7" t="s">
        <v>17</v>
      </c>
      <c r="F249" s="7" t="s">
        <v>308</v>
      </c>
      <c r="G249" s="45" t="s">
        <v>309</v>
      </c>
      <c r="H249" s="7" t="s">
        <v>310</v>
      </c>
      <c r="I249" s="7" t="s">
        <v>359</v>
      </c>
      <c r="J249" s="7">
        <v>1</v>
      </c>
      <c r="K249" s="33" t="s">
        <v>312</v>
      </c>
      <c r="L249" s="7" t="s">
        <v>443</v>
      </c>
      <c r="M249" s="7" t="s">
        <v>443</v>
      </c>
      <c r="N249" s="7" t="s">
        <v>1041</v>
      </c>
      <c r="O249" s="7" t="s">
        <v>1038</v>
      </c>
      <c r="P249" s="7" t="s">
        <v>637</v>
      </c>
      <c r="Q249" s="34">
        <v>44421</v>
      </c>
      <c r="R249" s="33" t="s">
        <v>317</v>
      </c>
      <c r="S249" s="33" t="s">
        <v>317</v>
      </c>
      <c r="T249" s="36">
        <v>2.2599999999999998</v>
      </c>
      <c r="U249" s="33">
        <v>24</v>
      </c>
      <c r="V249" s="37">
        <v>3730384.4191616764</v>
      </c>
      <c r="W249" s="37">
        <f>Tabla1[[#This Row],[V.I. Adj]]/1000000</f>
        <v>3.7303844191616764</v>
      </c>
      <c r="X249" s="48" t="s">
        <v>317</v>
      </c>
      <c r="Y249" s="48" t="s">
        <v>317</v>
      </c>
      <c r="Z249" s="48" t="s">
        <v>317</v>
      </c>
      <c r="AA249" s="48" t="s">
        <v>317</v>
      </c>
      <c r="AB249" s="48" t="s">
        <v>317</v>
      </c>
      <c r="AC249" s="7" t="s">
        <v>954</v>
      </c>
      <c r="AD249" s="7" t="s">
        <v>1035</v>
      </c>
      <c r="AE249" s="7" t="s">
        <v>1039</v>
      </c>
      <c r="AF249" s="7" t="s">
        <v>1042</v>
      </c>
      <c r="AG249" s="40" t="s">
        <v>319</v>
      </c>
      <c r="AH249" s="41">
        <v>44027</v>
      </c>
      <c r="AI249" s="41">
        <v>44088</v>
      </c>
      <c r="AJ249" s="50" t="s">
        <v>317</v>
      </c>
      <c r="AK249" s="42">
        <v>44475</v>
      </c>
      <c r="AM249" s="43"/>
    </row>
    <row r="250" spans="1:39" s="7" customFormat="1" x14ac:dyDescent="0.25">
      <c r="A250" s="7" t="str">
        <f>+MID(Tabla1[[#This Row],[N° Decreto
Expansión]],1,4)</f>
        <v>2020</v>
      </c>
      <c r="B250" s="7" t="str">
        <f>+RIGHT(Tabla1[[#This Row],[N° Decreto
Expansión]],3)</f>
        <v>171</v>
      </c>
      <c r="C250" s="32" t="s">
        <v>951</v>
      </c>
      <c r="D250" s="7" t="s">
        <v>307</v>
      </c>
      <c r="E250" s="7" t="s">
        <v>17</v>
      </c>
      <c r="F250" s="7" t="s">
        <v>308</v>
      </c>
      <c r="G250" s="45" t="s">
        <v>309</v>
      </c>
      <c r="H250" s="7" t="s">
        <v>310</v>
      </c>
      <c r="I250" s="7" t="s">
        <v>359</v>
      </c>
      <c r="J250" s="7">
        <v>1</v>
      </c>
      <c r="K250" s="33" t="s">
        <v>312</v>
      </c>
      <c r="L250" s="7" t="s">
        <v>443</v>
      </c>
      <c r="M250" s="7" t="s">
        <v>443</v>
      </c>
      <c r="N250" s="7" t="s">
        <v>1043</v>
      </c>
      <c r="O250" s="7" t="s">
        <v>1038</v>
      </c>
      <c r="P250" s="7" t="s">
        <v>637</v>
      </c>
      <c r="Q250" s="34">
        <v>44421</v>
      </c>
      <c r="R250" s="33" t="s">
        <v>317</v>
      </c>
      <c r="S250" s="33" t="s">
        <v>317</v>
      </c>
      <c r="T250" s="36">
        <v>1.429864</v>
      </c>
      <c r="U250" s="33">
        <v>24</v>
      </c>
      <c r="V250" s="37">
        <v>2360375.9820359279</v>
      </c>
      <c r="W250" s="37">
        <f>Tabla1[[#This Row],[V.I. Adj]]/1000000</f>
        <v>2.360375982035928</v>
      </c>
      <c r="X250" s="48" t="s">
        <v>317</v>
      </c>
      <c r="Y250" s="48" t="s">
        <v>317</v>
      </c>
      <c r="Z250" s="48" t="s">
        <v>317</v>
      </c>
      <c r="AA250" s="48" t="s">
        <v>317</v>
      </c>
      <c r="AB250" s="48" t="s">
        <v>317</v>
      </c>
      <c r="AC250" s="7" t="s">
        <v>34</v>
      </c>
      <c r="AD250" s="7" t="s">
        <v>1035</v>
      </c>
      <c r="AE250" s="7" t="s">
        <v>1039</v>
      </c>
      <c r="AF250" s="7" t="s">
        <v>1044</v>
      </c>
      <c r="AG250" s="40" t="s">
        <v>319</v>
      </c>
      <c r="AH250" s="41">
        <v>44027</v>
      </c>
      <c r="AI250" s="41">
        <v>44088</v>
      </c>
      <c r="AJ250" s="50" t="s">
        <v>317</v>
      </c>
      <c r="AK250" s="42">
        <v>44475</v>
      </c>
      <c r="AM250" s="43"/>
    </row>
    <row r="251" spans="1:39" s="7" customFormat="1" x14ac:dyDescent="0.25">
      <c r="A251" s="7" t="str">
        <f>+MID(Tabla1[[#This Row],[N° Decreto
Expansión]],1,4)</f>
        <v>2020</v>
      </c>
      <c r="B251" s="7" t="str">
        <f>+RIGHT(Tabla1[[#This Row],[N° Decreto
Expansión]],3)</f>
        <v>171</v>
      </c>
      <c r="C251" s="32" t="s">
        <v>951</v>
      </c>
      <c r="D251" s="7" t="s">
        <v>562</v>
      </c>
      <c r="E251" s="7" t="s">
        <v>17</v>
      </c>
      <c r="F251" s="7" t="s">
        <v>308</v>
      </c>
      <c r="G251" s="45" t="s">
        <v>309</v>
      </c>
      <c r="H251" s="7" t="s">
        <v>310</v>
      </c>
      <c r="I251" s="7" t="s">
        <v>359</v>
      </c>
      <c r="J251" s="7">
        <v>1</v>
      </c>
      <c r="K251" s="33" t="s">
        <v>33</v>
      </c>
      <c r="L251" s="52" t="s">
        <v>463</v>
      </c>
      <c r="M251" s="7" t="s">
        <v>701</v>
      </c>
      <c r="N251" s="7" t="s">
        <v>1045</v>
      </c>
      <c r="O251" s="7" t="s">
        <v>601</v>
      </c>
      <c r="P251" s="7" t="s">
        <v>637</v>
      </c>
      <c r="Q251" s="34">
        <v>44421</v>
      </c>
      <c r="R251" s="33" t="s">
        <v>317</v>
      </c>
      <c r="S251" s="33" t="s">
        <v>317</v>
      </c>
      <c r="T251" s="36">
        <v>15.982920999999999</v>
      </c>
      <c r="U251" s="33">
        <v>36</v>
      </c>
      <c r="V251" s="37">
        <v>17545979.553913042</v>
      </c>
      <c r="W251" s="37">
        <f>Tabla1[[#This Row],[V.I. Adj]]/1000000</f>
        <v>17.545979553913043</v>
      </c>
      <c r="X251" s="48" t="s">
        <v>317</v>
      </c>
      <c r="Y251" s="48" t="s">
        <v>317</v>
      </c>
      <c r="Z251" s="48" t="s">
        <v>317</v>
      </c>
      <c r="AA251" s="48" t="s">
        <v>317</v>
      </c>
      <c r="AB251" s="48" t="s">
        <v>317</v>
      </c>
      <c r="AC251" s="7" t="s">
        <v>34</v>
      </c>
      <c r="AD251" s="7" t="s">
        <v>1046</v>
      </c>
      <c r="AE251" s="7" t="s">
        <v>317</v>
      </c>
      <c r="AF251" s="7" t="s">
        <v>1047</v>
      </c>
      <c r="AG251" s="40" t="s">
        <v>319</v>
      </c>
      <c r="AH251" s="41">
        <v>44027</v>
      </c>
      <c r="AI251" s="41">
        <v>44088</v>
      </c>
      <c r="AJ251" s="50" t="s">
        <v>317</v>
      </c>
      <c r="AK251" s="42">
        <v>44475</v>
      </c>
      <c r="AM251" s="43"/>
    </row>
    <row r="252" spans="1:39" s="7" customFormat="1" ht="12.95" customHeight="1" x14ac:dyDescent="0.25">
      <c r="A252" s="7" t="str">
        <f>+MID(Tabla1[[#This Row],[N° Decreto
Expansión]],1,4)</f>
        <v>2020</v>
      </c>
      <c r="B252" s="7" t="str">
        <f>+RIGHT(Tabla1[[#This Row],[N° Decreto
Expansión]],3)</f>
        <v>171</v>
      </c>
      <c r="C252" s="32" t="s">
        <v>951</v>
      </c>
      <c r="D252" s="7" t="s">
        <v>562</v>
      </c>
      <c r="E252" s="7" t="s">
        <v>17</v>
      </c>
      <c r="F252" s="7" t="s">
        <v>308</v>
      </c>
      <c r="G252" s="45" t="s">
        <v>309</v>
      </c>
      <c r="H252" s="7" t="s">
        <v>310</v>
      </c>
      <c r="I252" s="7" t="s">
        <v>359</v>
      </c>
      <c r="J252" s="7">
        <v>1</v>
      </c>
      <c r="K252" s="33" t="s">
        <v>584</v>
      </c>
      <c r="L252" s="52" t="s">
        <v>463</v>
      </c>
      <c r="M252" s="7" t="s">
        <v>701</v>
      </c>
      <c r="N252" s="7" t="s">
        <v>1048</v>
      </c>
      <c r="O252" s="7" t="s">
        <v>601</v>
      </c>
      <c r="P252" s="7" t="s">
        <v>637</v>
      </c>
      <c r="Q252" s="34">
        <v>44421</v>
      </c>
      <c r="R252" s="33" t="s">
        <v>317</v>
      </c>
      <c r="S252" s="33" t="s">
        <v>317</v>
      </c>
      <c r="T252" s="36">
        <v>4.723986</v>
      </c>
      <c r="U252" s="33">
        <v>30</v>
      </c>
      <c r="V252" s="37">
        <v>5182542.1460869564</v>
      </c>
      <c r="W252" s="37">
        <f>Tabla1[[#This Row],[V.I. Adj]]/1000000</f>
        <v>5.1825421460869565</v>
      </c>
      <c r="X252" s="48" t="s">
        <v>317</v>
      </c>
      <c r="Y252" s="48" t="s">
        <v>317</v>
      </c>
      <c r="Z252" s="48" t="s">
        <v>317</v>
      </c>
      <c r="AA252" s="48" t="s">
        <v>317</v>
      </c>
      <c r="AB252" s="48" t="s">
        <v>317</v>
      </c>
      <c r="AC252" s="7" t="s">
        <v>927</v>
      </c>
      <c r="AD252" s="7" t="s">
        <v>1046</v>
      </c>
      <c r="AE252" s="7" t="s">
        <v>317</v>
      </c>
      <c r="AF252" s="7" t="s">
        <v>1049</v>
      </c>
      <c r="AG252" s="40" t="s">
        <v>319</v>
      </c>
      <c r="AH252" s="41">
        <v>44027</v>
      </c>
      <c r="AI252" s="41">
        <v>44088</v>
      </c>
      <c r="AJ252" s="50" t="s">
        <v>317</v>
      </c>
      <c r="AK252" s="42">
        <v>44475</v>
      </c>
      <c r="AM252" s="43"/>
    </row>
    <row r="253" spans="1:39" s="7" customFormat="1" x14ac:dyDescent="0.25">
      <c r="A253" s="7" t="str">
        <f>+MID(Tabla1[[#This Row],[N° Decreto
Expansión]],1,4)</f>
        <v>2020</v>
      </c>
      <c r="B253" s="7" t="str">
        <f>+RIGHT(Tabla1[[#This Row],[N° Decreto
Expansión]],3)</f>
        <v>171</v>
      </c>
      <c r="C253" s="32" t="s">
        <v>951</v>
      </c>
      <c r="D253" s="7" t="s">
        <v>307</v>
      </c>
      <c r="E253" s="7" t="s">
        <v>17</v>
      </c>
      <c r="F253" s="7" t="s">
        <v>308</v>
      </c>
      <c r="G253" s="45" t="s">
        <v>309</v>
      </c>
      <c r="H253" s="7" t="s">
        <v>390</v>
      </c>
      <c r="I253" s="7" t="s">
        <v>359</v>
      </c>
      <c r="J253" s="7">
        <v>1</v>
      </c>
      <c r="K253" s="33" t="s">
        <v>312</v>
      </c>
      <c r="L253" s="7" t="s">
        <v>463</v>
      </c>
      <c r="M253" s="7" t="s">
        <v>463</v>
      </c>
      <c r="N253" s="7" t="s">
        <v>1050</v>
      </c>
      <c r="O253" s="7" t="s">
        <v>361</v>
      </c>
      <c r="P253" s="7" t="s">
        <v>319</v>
      </c>
      <c r="Q253" s="33" t="s">
        <v>317</v>
      </c>
      <c r="R253" s="33" t="s">
        <v>317</v>
      </c>
      <c r="S253" s="33" t="s">
        <v>317</v>
      </c>
      <c r="T253" s="36">
        <v>1.71</v>
      </c>
      <c r="U253" s="33">
        <v>24</v>
      </c>
      <c r="V253" s="46" t="s">
        <v>319</v>
      </c>
      <c r="W253" s="51" t="s">
        <v>319</v>
      </c>
      <c r="X253" s="48" t="s">
        <v>317</v>
      </c>
      <c r="Y253" s="48" t="s">
        <v>317</v>
      </c>
      <c r="Z253" s="48" t="s">
        <v>317</v>
      </c>
      <c r="AA253" s="48" t="s">
        <v>317</v>
      </c>
      <c r="AB253" s="48" t="s">
        <v>317</v>
      </c>
      <c r="AC253" s="7" t="s">
        <v>954</v>
      </c>
      <c r="AD253" s="7" t="s">
        <v>1051</v>
      </c>
      <c r="AE253" s="7" t="s">
        <v>317</v>
      </c>
      <c r="AF253" s="7" t="s">
        <v>1052</v>
      </c>
      <c r="AG253" s="40" t="s">
        <v>319</v>
      </c>
      <c r="AH253" s="41">
        <v>44027</v>
      </c>
      <c r="AI253" s="41">
        <v>44088</v>
      </c>
      <c r="AJ253" s="50" t="s">
        <v>317</v>
      </c>
      <c r="AK253" s="53" t="s">
        <v>317</v>
      </c>
      <c r="AM253" s="43"/>
    </row>
    <row r="254" spans="1:39" s="7" customFormat="1" x14ac:dyDescent="0.25">
      <c r="A254" s="7" t="str">
        <f>+MID(Tabla1[[#This Row],[N° Decreto
Expansión]],1,4)</f>
        <v>2020</v>
      </c>
      <c r="B254" s="7" t="str">
        <f>+RIGHT(Tabla1[[#This Row],[N° Decreto
Expansión]],3)</f>
        <v>171</v>
      </c>
      <c r="C254" s="32" t="s">
        <v>951</v>
      </c>
      <c r="D254" s="7" t="s">
        <v>562</v>
      </c>
      <c r="E254" s="7" t="s">
        <v>17</v>
      </c>
      <c r="F254" s="7" t="s">
        <v>308</v>
      </c>
      <c r="G254" s="45" t="s">
        <v>309</v>
      </c>
      <c r="H254" s="7" t="s">
        <v>390</v>
      </c>
      <c r="I254" s="7" t="s">
        <v>359</v>
      </c>
      <c r="J254" s="7">
        <v>1</v>
      </c>
      <c r="K254" s="33" t="s">
        <v>312</v>
      </c>
      <c r="L254" s="7" t="s">
        <v>463</v>
      </c>
      <c r="M254" s="7" t="s">
        <v>463</v>
      </c>
      <c r="N254" s="7" t="s">
        <v>1053</v>
      </c>
      <c r="O254" s="7" t="s">
        <v>361</v>
      </c>
      <c r="P254" s="7" t="s">
        <v>319</v>
      </c>
      <c r="Q254" s="33" t="s">
        <v>317</v>
      </c>
      <c r="R254" s="33" t="s">
        <v>317</v>
      </c>
      <c r="S254" s="33" t="s">
        <v>317</v>
      </c>
      <c r="T254" s="36">
        <v>0.26</v>
      </c>
      <c r="U254" s="33">
        <v>24</v>
      </c>
      <c r="V254" s="46" t="s">
        <v>319</v>
      </c>
      <c r="W254" s="51" t="s">
        <v>319</v>
      </c>
      <c r="X254" s="48" t="s">
        <v>317</v>
      </c>
      <c r="Y254" s="48" t="s">
        <v>317</v>
      </c>
      <c r="Z254" s="48" t="s">
        <v>317</v>
      </c>
      <c r="AA254" s="48" t="s">
        <v>317</v>
      </c>
      <c r="AB254" s="48" t="s">
        <v>317</v>
      </c>
      <c r="AC254" s="7" t="s">
        <v>34</v>
      </c>
      <c r="AD254" s="7" t="s">
        <v>1051</v>
      </c>
      <c r="AE254" s="7" t="s">
        <v>1054</v>
      </c>
      <c r="AF254" s="7" t="s">
        <v>1055</v>
      </c>
      <c r="AG254" s="40" t="s">
        <v>319</v>
      </c>
      <c r="AH254" s="41">
        <v>44027</v>
      </c>
      <c r="AI254" s="41">
        <v>44088</v>
      </c>
      <c r="AJ254" s="50" t="s">
        <v>317</v>
      </c>
      <c r="AK254" s="53" t="s">
        <v>317</v>
      </c>
      <c r="AM254" s="43"/>
    </row>
    <row r="255" spans="1:39" s="7" customFormat="1" x14ac:dyDescent="0.25">
      <c r="A255" s="7" t="str">
        <f>+MID(Tabla1[[#This Row],[N° Decreto
Expansión]],1,4)</f>
        <v>2020</v>
      </c>
      <c r="B255" s="7" t="str">
        <f>+RIGHT(Tabla1[[#This Row],[N° Decreto
Expansión]],3)</f>
        <v>171</v>
      </c>
      <c r="C255" s="32" t="s">
        <v>951</v>
      </c>
      <c r="D255" s="7" t="s">
        <v>562</v>
      </c>
      <c r="E255" s="7" t="s">
        <v>17</v>
      </c>
      <c r="F255" s="7" t="s">
        <v>308</v>
      </c>
      <c r="G255" s="45" t="s">
        <v>309</v>
      </c>
      <c r="H255" s="7" t="s">
        <v>390</v>
      </c>
      <c r="I255" s="7" t="s">
        <v>359</v>
      </c>
      <c r="J255" s="7">
        <v>1</v>
      </c>
      <c r="K255" s="33" t="s">
        <v>312</v>
      </c>
      <c r="L255" s="7" t="s">
        <v>463</v>
      </c>
      <c r="M255" s="7" t="s">
        <v>463</v>
      </c>
      <c r="N255" s="7" t="s">
        <v>1056</v>
      </c>
      <c r="O255" s="7" t="s">
        <v>361</v>
      </c>
      <c r="P255" s="7" t="s">
        <v>319</v>
      </c>
      <c r="Q255" s="33" t="s">
        <v>317</v>
      </c>
      <c r="R255" s="33" t="s">
        <v>317</v>
      </c>
      <c r="S255" s="33" t="s">
        <v>317</v>
      </c>
      <c r="T255" s="36">
        <v>0.87</v>
      </c>
      <c r="U255" s="33">
        <v>15</v>
      </c>
      <c r="V255" s="46" t="s">
        <v>319</v>
      </c>
      <c r="W255" s="51" t="s">
        <v>319</v>
      </c>
      <c r="X255" s="48" t="s">
        <v>317</v>
      </c>
      <c r="Y255" s="48" t="s">
        <v>317</v>
      </c>
      <c r="Z255" s="48" t="s">
        <v>317</v>
      </c>
      <c r="AA255" s="48" t="s">
        <v>317</v>
      </c>
      <c r="AB255" s="48" t="s">
        <v>317</v>
      </c>
      <c r="AC255" s="7" t="s">
        <v>34</v>
      </c>
      <c r="AD255" s="7" t="s">
        <v>1051</v>
      </c>
      <c r="AE255" s="7" t="s">
        <v>1054</v>
      </c>
      <c r="AF255" s="7" t="s">
        <v>1057</v>
      </c>
      <c r="AG255" s="40" t="s">
        <v>319</v>
      </c>
      <c r="AH255" s="41">
        <v>44027</v>
      </c>
      <c r="AI255" s="41">
        <v>44088</v>
      </c>
      <c r="AJ255" s="50" t="s">
        <v>317</v>
      </c>
      <c r="AK255" s="53" t="s">
        <v>317</v>
      </c>
      <c r="AM255" s="43"/>
    </row>
    <row r="256" spans="1:39" s="7" customFormat="1" x14ac:dyDescent="0.25">
      <c r="A256" s="7" t="str">
        <f>+MID(Tabla1[[#This Row],[N° Decreto
Expansión]],1,4)</f>
        <v>2020</v>
      </c>
      <c r="B256" s="7" t="str">
        <f>+RIGHT(Tabla1[[#This Row],[N° Decreto
Expansión]],3)</f>
        <v>171</v>
      </c>
      <c r="C256" s="32" t="s">
        <v>951</v>
      </c>
      <c r="D256" s="7" t="s">
        <v>307</v>
      </c>
      <c r="E256" s="7" t="s">
        <v>17</v>
      </c>
      <c r="F256" s="7" t="s">
        <v>308</v>
      </c>
      <c r="G256" s="45" t="s">
        <v>309</v>
      </c>
      <c r="H256" s="7" t="s">
        <v>390</v>
      </c>
      <c r="I256" s="7" t="s">
        <v>359</v>
      </c>
      <c r="J256" s="7">
        <v>1</v>
      </c>
      <c r="K256" s="33" t="s">
        <v>312</v>
      </c>
      <c r="L256" s="7" t="s">
        <v>463</v>
      </c>
      <c r="M256" s="7" t="s">
        <v>463</v>
      </c>
      <c r="N256" s="7" t="s">
        <v>1058</v>
      </c>
      <c r="O256" s="7" t="s">
        <v>361</v>
      </c>
      <c r="P256" s="7" t="s">
        <v>319</v>
      </c>
      <c r="Q256" s="33" t="s">
        <v>317</v>
      </c>
      <c r="R256" s="33" t="s">
        <v>317</v>
      </c>
      <c r="S256" s="33" t="s">
        <v>317</v>
      </c>
      <c r="T256" s="36">
        <v>2.29</v>
      </c>
      <c r="U256" s="33">
        <v>24</v>
      </c>
      <c r="V256" s="46" t="s">
        <v>319</v>
      </c>
      <c r="W256" s="51" t="s">
        <v>319</v>
      </c>
      <c r="X256" s="48" t="s">
        <v>317</v>
      </c>
      <c r="Y256" s="48" t="s">
        <v>317</v>
      </c>
      <c r="Z256" s="48" t="s">
        <v>317</v>
      </c>
      <c r="AA256" s="48" t="s">
        <v>317</v>
      </c>
      <c r="AB256" s="48" t="s">
        <v>317</v>
      </c>
      <c r="AC256" s="7" t="s">
        <v>34</v>
      </c>
      <c r="AD256" s="7" t="s">
        <v>1051</v>
      </c>
      <c r="AE256" s="7" t="s">
        <v>1054</v>
      </c>
      <c r="AF256" s="7" t="s">
        <v>1059</v>
      </c>
      <c r="AG256" s="40" t="s">
        <v>319</v>
      </c>
      <c r="AH256" s="41">
        <v>44027</v>
      </c>
      <c r="AI256" s="41">
        <v>44088</v>
      </c>
      <c r="AJ256" s="50" t="s">
        <v>317</v>
      </c>
      <c r="AK256" s="53" t="s">
        <v>317</v>
      </c>
      <c r="AM256" s="43"/>
    </row>
    <row r="257" spans="1:39" s="7" customFormat="1" x14ac:dyDescent="0.25">
      <c r="A257" s="7" t="str">
        <f>+MID(Tabla1[[#This Row],[N° Decreto
Expansión]],1,4)</f>
        <v>2020</v>
      </c>
      <c r="B257" s="7" t="str">
        <f>+RIGHT(Tabla1[[#This Row],[N° Decreto
Expansión]],3)</f>
        <v>171</v>
      </c>
      <c r="C257" s="32" t="s">
        <v>951</v>
      </c>
      <c r="D257" s="7" t="s">
        <v>307</v>
      </c>
      <c r="E257" s="7" t="s">
        <v>17</v>
      </c>
      <c r="F257" s="7" t="s">
        <v>308</v>
      </c>
      <c r="G257" s="45" t="s">
        <v>309</v>
      </c>
      <c r="H257" s="7" t="s">
        <v>390</v>
      </c>
      <c r="I257" s="7" t="s">
        <v>359</v>
      </c>
      <c r="J257" s="7">
        <v>1</v>
      </c>
      <c r="K257" s="33" t="s">
        <v>312</v>
      </c>
      <c r="L257" s="7" t="s">
        <v>463</v>
      </c>
      <c r="M257" s="7" t="s">
        <v>463</v>
      </c>
      <c r="N257" s="7" t="s">
        <v>1060</v>
      </c>
      <c r="O257" s="7" t="s">
        <v>361</v>
      </c>
      <c r="P257" s="7" t="s">
        <v>319</v>
      </c>
      <c r="Q257" s="33" t="s">
        <v>317</v>
      </c>
      <c r="R257" s="33" t="s">
        <v>317</v>
      </c>
      <c r="S257" s="33" t="s">
        <v>317</v>
      </c>
      <c r="T257" s="36">
        <v>0.82854499999999998</v>
      </c>
      <c r="U257" s="33">
        <v>24</v>
      </c>
      <c r="V257" s="46" t="s">
        <v>319</v>
      </c>
      <c r="W257" s="51" t="s">
        <v>319</v>
      </c>
      <c r="X257" s="48" t="s">
        <v>317</v>
      </c>
      <c r="Y257" s="48" t="s">
        <v>317</v>
      </c>
      <c r="Z257" s="48" t="s">
        <v>317</v>
      </c>
      <c r="AA257" s="48" t="s">
        <v>317</v>
      </c>
      <c r="AB257" s="48" t="s">
        <v>317</v>
      </c>
      <c r="AC257" s="7" t="s">
        <v>954</v>
      </c>
      <c r="AD257" s="7" t="s">
        <v>1051</v>
      </c>
      <c r="AE257" s="7" t="s">
        <v>317</v>
      </c>
      <c r="AF257" s="7" t="s">
        <v>1061</v>
      </c>
      <c r="AG257" s="40" t="s">
        <v>319</v>
      </c>
      <c r="AH257" s="41">
        <v>44027</v>
      </c>
      <c r="AI257" s="41">
        <v>44088</v>
      </c>
      <c r="AJ257" s="50" t="s">
        <v>317</v>
      </c>
      <c r="AK257" s="53" t="s">
        <v>317</v>
      </c>
      <c r="AM257" s="43"/>
    </row>
    <row r="258" spans="1:39" s="7" customFormat="1" x14ac:dyDescent="0.25">
      <c r="A258" s="7" t="str">
        <f>+MID(Tabla1[[#This Row],[N° Decreto
Expansión]],1,4)</f>
        <v>2020</v>
      </c>
      <c r="B258" s="7" t="str">
        <f>+RIGHT(Tabla1[[#This Row],[N° Decreto
Expansión]],3)</f>
        <v>171</v>
      </c>
      <c r="C258" s="32" t="s">
        <v>951</v>
      </c>
      <c r="D258" s="7" t="s">
        <v>307</v>
      </c>
      <c r="E258" s="7" t="s">
        <v>17</v>
      </c>
      <c r="F258" s="7" t="s">
        <v>308</v>
      </c>
      <c r="G258" s="45" t="s">
        <v>309</v>
      </c>
      <c r="H258" s="7" t="s">
        <v>310</v>
      </c>
      <c r="I258" s="7" t="s">
        <v>359</v>
      </c>
      <c r="J258" s="7">
        <v>1</v>
      </c>
      <c r="K258" s="33" t="s">
        <v>312</v>
      </c>
      <c r="L258" s="7" t="s">
        <v>588</v>
      </c>
      <c r="M258" s="7" t="s">
        <v>588</v>
      </c>
      <c r="N258" s="7" t="s">
        <v>1062</v>
      </c>
      <c r="O258" s="7" t="s">
        <v>1063</v>
      </c>
      <c r="P258" s="7" t="s">
        <v>637</v>
      </c>
      <c r="Q258" s="34">
        <v>44421</v>
      </c>
      <c r="R258" s="33" t="s">
        <v>317</v>
      </c>
      <c r="S258" s="33" t="s">
        <v>317</v>
      </c>
      <c r="T258" s="36">
        <v>3.49</v>
      </c>
      <c r="U258" s="33">
        <v>24</v>
      </c>
      <c r="V258" s="37">
        <v>5406280</v>
      </c>
      <c r="W258" s="37">
        <f>Tabla1[[#This Row],[V.I. Adj]]/1000000</f>
        <v>5.4062799999999998</v>
      </c>
      <c r="X258" s="48" t="s">
        <v>317</v>
      </c>
      <c r="Y258" s="48" t="s">
        <v>317</v>
      </c>
      <c r="Z258" s="48" t="s">
        <v>317</v>
      </c>
      <c r="AA258" s="48" t="s">
        <v>317</v>
      </c>
      <c r="AB258" s="48" t="s">
        <v>317</v>
      </c>
      <c r="AC258" s="7" t="s">
        <v>923</v>
      </c>
      <c r="AD258" s="7" t="s">
        <v>1064</v>
      </c>
      <c r="AE258" s="7" t="s">
        <v>317</v>
      </c>
      <c r="AF258" s="7" t="s">
        <v>1065</v>
      </c>
      <c r="AG258" s="40" t="s">
        <v>319</v>
      </c>
      <c r="AH258" s="41">
        <v>44027</v>
      </c>
      <c r="AI258" s="41">
        <v>44088</v>
      </c>
      <c r="AJ258" s="50" t="s">
        <v>317</v>
      </c>
      <c r="AK258" s="42">
        <v>44475</v>
      </c>
      <c r="AM258" s="43"/>
    </row>
    <row r="259" spans="1:39" s="7" customFormat="1" x14ac:dyDescent="0.25">
      <c r="A259" s="7" t="str">
        <f>+MID(Tabla1[[#This Row],[N° Decreto
Expansión]],1,4)</f>
        <v>2020</v>
      </c>
      <c r="B259" s="7" t="str">
        <f>+RIGHT(Tabla1[[#This Row],[N° Decreto
Expansión]],3)</f>
        <v>171</v>
      </c>
      <c r="C259" s="32" t="s">
        <v>951</v>
      </c>
      <c r="D259" s="7" t="s">
        <v>562</v>
      </c>
      <c r="E259" s="7" t="s">
        <v>17</v>
      </c>
      <c r="F259" s="7" t="s">
        <v>308</v>
      </c>
      <c r="G259" s="45" t="s">
        <v>309</v>
      </c>
      <c r="H259" s="7" t="s">
        <v>310</v>
      </c>
      <c r="I259" s="7" t="s">
        <v>359</v>
      </c>
      <c r="J259" s="7">
        <v>1</v>
      </c>
      <c r="K259" s="33" t="s">
        <v>312</v>
      </c>
      <c r="L259" s="7" t="s">
        <v>588</v>
      </c>
      <c r="M259" s="7" t="s">
        <v>588</v>
      </c>
      <c r="N259" s="7" t="s">
        <v>1066</v>
      </c>
      <c r="O259" s="7" t="s">
        <v>445</v>
      </c>
      <c r="P259" s="7" t="s">
        <v>637</v>
      </c>
      <c r="Q259" s="34">
        <v>44421</v>
      </c>
      <c r="R259" s="33" t="s">
        <v>317</v>
      </c>
      <c r="S259" s="33" t="s">
        <v>317</v>
      </c>
      <c r="T259" s="36">
        <v>0.69490499999999999</v>
      </c>
      <c r="U259" s="33">
        <v>18</v>
      </c>
      <c r="V259" s="37">
        <v>1299198.69</v>
      </c>
      <c r="W259" s="37">
        <f>Tabla1[[#This Row],[V.I. Adj]]/1000000</f>
        <v>1.2991986899999999</v>
      </c>
      <c r="X259" s="48" t="s">
        <v>317</v>
      </c>
      <c r="Y259" s="48" t="s">
        <v>317</v>
      </c>
      <c r="Z259" s="48" t="s">
        <v>317</v>
      </c>
      <c r="AA259" s="48" t="s">
        <v>317</v>
      </c>
      <c r="AB259" s="48" t="s">
        <v>317</v>
      </c>
      <c r="AC259" s="7" t="s">
        <v>34</v>
      </c>
      <c r="AD259" s="7" t="s">
        <v>1064</v>
      </c>
      <c r="AE259" s="7" t="s">
        <v>317</v>
      </c>
      <c r="AF259" s="7" t="s">
        <v>1067</v>
      </c>
      <c r="AG259" s="40" t="s">
        <v>319</v>
      </c>
      <c r="AH259" s="41">
        <v>44027</v>
      </c>
      <c r="AI259" s="41">
        <v>44088</v>
      </c>
      <c r="AJ259" s="50" t="s">
        <v>317</v>
      </c>
      <c r="AK259" s="42">
        <v>44475</v>
      </c>
      <c r="AM259" s="43"/>
    </row>
    <row r="260" spans="1:39" s="7" customFormat="1" x14ac:dyDescent="0.25">
      <c r="A260" s="7" t="str">
        <f>+MID(Tabla1[[#This Row],[N° Decreto
Expansión]],1,4)</f>
        <v>2020</v>
      </c>
      <c r="B260" s="7" t="str">
        <f>+RIGHT(Tabla1[[#This Row],[N° Decreto
Expansión]],3)</f>
        <v>171</v>
      </c>
      <c r="C260" s="32" t="s">
        <v>951</v>
      </c>
      <c r="D260" s="7" t="s">
        <v>307</v>
      </c>
      <c r="E260" s="7" t="s">
        <v>17</v>
      </c>
      <c r="F260" s="7" t="s">
        <v>308</v>
      </c>
      <c r="G260" s="45" t="s">
        <v>309</v>
      </c>
      <c r="H260" s="7" t="s">
        <v>310</v>
      </c>
      <c r="I260" s="7" t="s">
        <v>359</v>
      </c>
      <c r="J260" s="7">
        <v>1</v>
      </c>
      <c r="K260" s="33" t="s">
        <v>312</v>
      </c>
      <c r="L260" s="7" t="s">
        <v>588</v>
      </c>
      <c r="M260" s="7" t="s">
        <v>588</v>
      </c>
      <c r="N260" s="7" t="s">
        <v>1068</v>
      </c>
      <c r="O260" s="7" t="s">
        <v>445</v>
      </c>
      <c r="P260" s="7" t="s">
        <v>637</v>
      </c>
      <c r="Q260" s="34">
        <v>44421</v>
      </c>
      <c r="R260" s="33" t="s">
        <v>317</v>
      </c>
      <c r="S260" s="33" t="s">
        <v>317</v>
      </c>
      <c r="T260" s="36">
        <v>2.64</v>
      </c>
      <c r="U260" s="33">
        <v>24</v>
      </c>
      <c r="V260" s="37">
        <v>4044899.51</v>
      </c>
      <c r="W260" s="37">
        <f>Tabla1[[#This Row],[V.I. Adj]]/1000000</f>
        <v>4.0448995099999996</v>
      </c>
      <c r="X260" s="48" t="s">
        <v>317</v>
      </c>
      <c r="Y260" s="48" t="s">
        <v>317</v>
      </c>
      <c r="Z260" s="48" t="s">
        <v>317</v>
      </c>
      <c r="AA260" s="48" t="s">
        <v>317</v>
      </c>
      <c r="AB260" s="48" t="s">
        <v>317</v>
      </c>
      <c r="AC260" s="7" t="s">
        <v>923</v>
      </c>
      <c r="AD260" s="7" t="s">
        <v>1064</v>
      </c>
      <c r="AE260" s="7" t="s">
        <v>317</v>
      </c>
      <c r="AF260" s="7" t="s">
        <v>1069</v>
      </c>
      <c r="AG260" s="40" t="s">
        <v>319</v>
      </c>
      <c r="AH260" s="41">
        <v>44027</v>
      </c>
      <c r="AI260" s="41">
        <v>44088</v>
      </c>
      <c r="AJ260" s="50" t="s">
        <v>317</v>
      </c>
      <c r="AK260" s="42">
        <v>44475</v>
      </c>
      <c r="AM260" s="43"/>
    </row>
    <row r="261" spans="1:39" s="7" customFormat="1" x14ac:dyDescent="0.25">
      <c r="A261" s="7" t="str">
        <f>+MID(Tabla1[[#This Row],[N° Decreto
Expansión]],1,4)</f>
        <v>2020</v>
      </c>
      <c r="B261" s="7" t="str">
        <f>+RIGHT(Tabla1[[#This Row],[N° Decreto
Expansión]],3)</f>
        <v>171</v>
      </c>
      <c r="C261" s="32" t="s">
        <v>951</v>
      </c>
      <c r="D261" s="7" t="s">
        <v>307</v>
      </c>
      <c r="E261" s="7" t="s">
        <v>17</v>
      </c>
      <c r="F261" s="7" t="s">
        <v>308</v>
      </c>
      <c r="G261" s="45" t="s">
        <v>309</v>
      </c>
      <c r="H261" s="7" t="s">
        <v>310</v>
      </c>
      <c r="I261" s="7" t="s">
        <v>359</v>
      </c>
      <c r="J261" s="7">
        <v>1</v>
      </c>
      <c r="K261" s="33" t="s">
        <v>312</v>
      </c>
      <c r="L261" s="7" t="s">
        <v>588</v>
      </c>
      <c r="M261" s="7" t="s">
        <v>588</v>
      </c>
      <c r="N261" s="7" t="s">
        <v>1070</v>
      </c>
      <c r="O261" s="7" t="s">
        <v>445</v>
      </c>
      <c r="P261" s="7" t="s">
        <v>637</v>
      </c>
      <c r="Q261" s="34">
        <v>44421</v>
      </c>
      <c r="R261" s="33" t="s">
        <v>317</v>
      </c>
      <c r="S261" s="33" t="s">
        <v>317</v>
      </c>
      <c r="T261" s="36">
        <v>3.42</v>
      </c>
      <c r="U261" s="33">
        <v>24</v>
      </c>
      <c r="V261" s="37">
        <v>4651467.62</v>
      </c>
      <c r="W261" s="37">
        <f>Tabla1[[#This Row],[V.I. Adj]]/1000000</f>
        <v>4.65146762</v>
      </c>
      <c r="X261" s="48" t="s">
        <v>317</v>
      </c>
      <c r="Y261" s="48" t="s">
        <v>317</v>
      </c>
      <c r="Z261" s="48" t="s">
        <v>317</v>
      </c>
      <c r="AA261" s="48" t="s">
        <v>317</v>
      </c>
      <c r="AB261" s="48" t="s">
        <v>317</v>
      </c>
      <c r="AC261" s="7" t="s">
        <v>923</v>
      </c>
      <c r="AD261" s="7" t="s">
        <v>1064</v>
      </c>
      <c r="AE261" s="7" t="s">
        <v>1071</v>
      </c>
      <c r="AF261" s="7" t="s">
        <v>1072</v>
      </c>
      <c r="AG261" s="40" t="s">
        <v>319</v>
      </c>
      <c r="AH261" s="41">
        <v>44027</v>
      </c>
      <c r="AI261" s="41">
        <v>44088</v>
      </c>
      <c r="AJ261" s="50" t="s">
        <v>317</v>
      </c>
      <c r="AK261" s="42">
        <v>44475</v>
      </c>
      <c r="AM261" s="43"/>
    </row>
    <row r="262" spans="1:39" s="7" customFormat="1" x14ac:dyDescent="0.25">
      <c r="A262" s="7" t="str">
        <f>+MID(Tabla1[[#This Row],[N° Decreto
Expansión]],1,4)</f>
        <v>2020</v>
      </c>
      <c r="B262" s="7" t="str">
        <f>+RIGHT(Tabla1[[#This Row],[N° Decreto
Expansión]],3)</f>
        <v>171</v>
      </c>
      <c r="C262" s="32" t="s">
        <v>951</v>
      </c>
      <c r="D262" s="7" t="s">
        <v>562</v>
      </c>
      <c r="E262" s="7" t="s">
        <v>17</v>
      </c>
      <c r="F262" s="7" t="s">
        <v>308</v>
      </c>
      <c r="G262" s="45" t="s">
        <v>309</v>
      </c>
      <c r="H262" s="7" t="s">
        <v>390</v>
      </c>
      <c r="I262" s="7" t="s">
        <v>359</v>
      </c>
      <c r="J262" s="7">
        <v>1</v>
      </c>
      <c r="K262" s="33" t="s">
        <v>584</v>
      </c>
      <c r="L262" s="7" t="s">
        <v>588</v>
      </c>
      <c r="M262" s="7" t="s">
        <v>588</v>
      </c>
      <c r="N262" s="7" t="s">
        <v>1073</v>
      </c>
      <c r="O262" s="7" t="s">
        <v>361</v>
      </c>
      <c r="P262" s="7" t="s">
        <v>319</v>
      </c>
      <c r="Q262" s="33" t="s">
        <v>317</v>
      </c>
      <c r="R262" s="33" t="s">
        <v>317</v>
      </c>
      <c r="S262" s="33" t="s">
        <v>317</v>
      </c>
      <c r="T262" s="36">
        <v>7.29</v>
      </c>
      <c r="U262" s="33">
        <v>30</v>
      </c>
      <c r="V262" s="46" t="s">
        <v>319</v>
      </c>
      <c r="W262" s="51" t="s">
        <v>319</v>
      </c>
      <c r="X262" s="48" t="s">
        <v>317</v>
      </c>
      <c r="Y262" s="48" t="s">
        <v>317</v>
      </c>
      <c r="Z262" s="48" t="s">
        <v>317</v>
      </c>
      <c r="AA262" s="48" t="s">
        <v>317</v>
      </c>
      <c r="AB262" s="48" t="s">
        <v>317</v>
      </c>
      <c r="AC262" s="7" t="s">
        <v>923</v>
      </c>
      <c r="AD262" s="7" t="s">
        <v>1064</v>
      </c>
      <c r="AE262" s="7" t="s">
        <v>1071</v>
      </c>
      <c r="AF262" s="7" t="s">
        <v>1074</v>
      </c>
      <c r="AG262" s="40" t="s">
        <v>319</v>
      </c>
      <c r="AH262" s="41">
        <v>44027</v>
      </c>
      <c r="AI262" s="41">
        <v>44088</v>
      </c>
      <c r="AJ262" s="50" t="s">
        <v>317</v>
      </c>
      <c r="AK262" s="53" t="s">
        <v>317</v>
      </c>
      <c r="AM262" s="43"/>
    </row>
    <row r="263" spans="1:39" s="7" customFormat="1" x14ac:dyDescent="0.25">
      <c r="A263" s="7" t="str">
        <f>+MID(Tabla1[[#This Row],[N° Decreto
Expansión]],1,4)</f>
        <v>2020</v>
      </c>
      <c r="B263" s="7" t="str">
        <f>+RIGHT(Tabla1[[#This Row],[N° Decreto
Expansión]],3)</f>
        <v>171</v>
      </c>
      <c r="C263" s="32" t="s">
        <v>951</v>
      </c>
      <c r="D263" s="7" t="s">
        <v>307</v>
      </c>
      <c r="E263" s="7" t="s">
        <v>17</v>
      </c>
      <c r="F263" s="7" t="s">
        <v>308</v>
      </c>
      <c r="G263" s="45" t="s">
        <v>309</v>
      </c>
      <c r="H263" s="7" t="s">
        <v>390</v>
      </c>
      <c r="I263" s="7" t="s">
        <v>359</v>
      </c>
      <c r="J263" s="7">
        <v>1</v>
      </c>
      <c r="K263" s="33" t="s">
        <v>312</v>
      </c>
      <c r="L263" s="7" t="s">
        <v>588</v>
      </c>
      <c r="M263" s="7" t="s">
        <v>588</v>
      </c>
      <c r="N263" s="7" t="s">
        <v>1075</v>
      </c>
      <c r="O263" s="7" t="s">
        <v>361</v>
      </c>
      <c r="P263" s="7" t="s">
        <v>319</v>
      </c>
      <c r="Q263" s="33" t="s">
        <v>317</v>
      </c>
      <c r="R263" s="33" t="s">
        <v>317</v>
      </c>
      <c r="S263" s="33" t="s">
        <v>317</v>
      </c>
      <c r="T263" s="36">
        <v>2.707881</v>
      </c>
      <c r="U263" s="33">
        <v>24</v>
      </c>
      <c r="V263" s="46" t="s">
        <v>319</v>
      </c>
      <c r="W263" s="51" t="s">
        <v>319</v>
      </c>
      <c r="X263" s="48" t="s">
        <v>317</v>
      </c>
      <c r="Y263" s="48" t="s">
        <v>317</v>
      </c>
      <c r="Z263" s="48" t="s">
        <v>317</v>
      </c>
      <c r="AA263" s="48" t="s">
        <v>317</v>
      </c>
      <c r="AB263" s="48" t="s">
        <v>317</v>
      </c>
      <c r="AC263" s="7" t="s">
        <v>923</v>
      </c>
      <c r="AD263" s="7" t="s">
        <v>317</v>
      </c>
      <c r="AE263" s="7" t="s">
        <v>317</v>
      </c>
      <c r="AF263" s="7" t="s">
        <v>1076</v>
      </c>
      <c r="AG263" s="40" t="s">
        <v>319</v>
      </c>
      <c r="AH263" s="41">
        <v>44027</v>
      </c>
      <c r="AI263" s="41">
        <v>44088</v>
      </c>
      <c r="AJ263" s="50" t="s">
        <v>317</v>
      </c>
      <c r="AK263" s="53" t="s">
        <v>317</v>
      </c>
      <c r="AM263" s="43"/>
    </row>
    <row r="264" spans="1:39" s="7" customFormat="1" x14ac:dyDescent="0.25">
      <c r="A264" s="7" t="str">
        <f>+MID(Tabla1[[#This Row],[N° Decreto
Expansión]],1,4)</f>
        <v>2020</v>
      </c>
      <c r="B264" s="7" t="str">
        <f>+RIGHT(Tabla1[[#This Row],[N° Decreto
Expansión]],3)</f>
        <v>171</v>
      </c>
      <c r="C264" s="32" t="s">
        <v>951</v>
      </c>
      <c r="D264" s="7" t="s">
        <v>562</v>
      </c>
      <c r="E264" s="7" t="s">
        <v>388</v>
      </c>
      <c r="F264" s="7" t="s">
        <v>308</v>
      </c>
      <c r="G264" s="45" t="s">
        <v>389</v>
      </c>
      <c r="H264" s="7" t="s">
        <v>310</v>
      </c>
      <c r="I264" s="7" t="s">
        <v>391</v>
      </c>
      <c r="J264" s="7">
        <v>1</v>
      </c>
      <c r="K264" s="33" t="s">
        <v>312</v>
      </c>
      <c r="L264" s="7" t="s">
        <v>334</v>
      </c>
      <c r="M264" s="7" t="s">
        <v>334</v>
      </c>
      <c r="N264" s="7" t="s">
        <v>1077</v>
      </c>
      <c r="O264" s="7" t="s">
        <v>34</v>
      </c>
      <c r="P264" s="7" t="s">
        <v>559</v>
      </c>
      <c r="Q264" s="34">
        <v>44467</v>
      </c>
      <c r="R264" s="33" t="s">
        <v>317</v>
      </c>
      <c r="S264" s="33" t="s">
        <v>317</v>
      </c>
      <c r="T264" s="36">
        <v>1.738389</v>
      </c>
      <c r="U264" s="33">
        <v>20</v>
      </c>
      <c r="V264" s="37">
        <v>2001000</v>
      </c>
      <c r="W264" s="37">
        <f>Tabla1[[#This Row],[V.I. Adj]]/1000000</f>
        <v>2.0009999999999999</v>
      </c>
      <c r="X264" s="48" t="s">
        <v>317</v>
      </c>
      <c r="Y264" s="48" t="s">
        <v>317</v>
      </c>
      <c r="Z264" s="48" t="s">
        <v>317</v>
      </c>
      <c r="AA264" s="48" t="s">
        <v>317</v>
      </c>
      <c r="AB264" s="48" t="s">
        <v>317</v>
      </c>
      <c r="AC264" s="7" t="s">
        <v>34</v>
      </c>
      <c r="AD264" s="7" t="s">
        <v>1078</v>
      </c>
      <c r="AE264" s="7" t="s">
        <v>317</v>
      </c>
      <c r="AF264" s="7" t="s">
        <v>1079</v>
      </c>
      <c r="AG264" s="40" t="s">
        <v>319</v>
      </c>
      <c r="AH264" s="41">
        <v>44027</v>
      </c>
      <c r="AI264" s="41">
        <v>44088</v>
      </c>
      <c r="AJ264" s="50" t="s">
        <v>317</v>
      </c>
      <c r="AK264" s="42">
        <v>44515</v>
      </c>
      <c r="AM264" s="43"/>
    </row>
    <row r="265" spans="1:39" s="7" customFormat="1" x14ac:dyDescent="0.25">
      <c r="A265" s="7" t="str">
        <f>+MID(Tabla1[[#This Row],[N° Decreto
Expansión]],1,4)</f>
        <v>2020</v>
      </c>
      <c r="B265" s="7" t="str">
        <f>+RIGHT(Tabla1[[#This Row],[N° Decreto
Expansión]],3)</f>
        <v>171</v>
      </c>
      <c r="C265" s="32" t="s">
        <v>951</v>
      </c>
      <c r="D265" s="7" t="s">
        <v>307</v>
      </c>
      <c r="E265" s="7" t="s">
        <v>388</v>
      </c>
      <c r="F265" s="7" t="s">
        <v>308</v>
      </c>
      <c r="G265" s="45" t="s">
        <v>389</v>
      </c>
      <c r="H265" s="7" t="s">
        <v>310</v>
      </c>
      <c r="I265" s="7" t="s">
        <v>391</v>
      </c>
      <c r="J265" s="7">
        <v>1</v>
      </c>
      <c r="K265" s="33" t="s">
        <v>33</v>
      </c>
      <c r="L265" s="7" t="s">
        <v>355</v>
      </c>
      <c r="M265" s="7" t="s">
        <v>355</v>
      </c>
      <c r="N265" s="7" t="s">
        <v>1080</v>
      </c>
      <c r="O265" s="7" t="s">
        <v>500</v>
      </c>
      <c r="P265" s="7" t="s">
        <v>559</v>
      </c>
      <c r="Q265" s="34">
        <v>44467</v>
      </c>
      <c r="R265" s="33" t="s">
        <v>317</v>
      </c>
      <c r="S265" s="33" t="s">
        <v>317</v>
      </c>
      <c r="T265" s="36">
        <v>9.4499999999999993</v>
      </c>
      <c r="U265" s="33">
        <v>36</v>
      </c>
      <c r="V265" s="37">
        <v>2003420</v>
      </c>
      <c r="W265" s="37">
        <f>Tabla1[[#This Row],[V.I. Adj]]/1000000</f>
        <v>2.0034200000000002</v>
      </c>
      <c r="X265" s="48" t="s">
        <v>317</v>
      </c>
      <c r="Y265" s="48" t="s">
        <v>317</v>
      </c>
      <c r="Z265" s="48" t="s">
        <v>317</v>
      </c>
      <c r="AA265" s="48" t="s">
        <v>317</v>
      </c>
      <c r="AB265" s="48" t="s">
        <v>317</v>
      </c>
      <c r="AC265" s="7" t="s">
        <v>1002</v>
      </c>
      <c r="AD265" s="7" t="s">
        <v>1081</v>
      </c>
      <c r="AE265" s="7" t="s">
        <v>317</v>
      </c>
      <c r="AF265" s="7" t="s">
        <v>1082</v>
      </c>
      <c r="AG265" s="40" t="s">
        <v>319</v>
      </c>
      <c r="AH265" s="41">
        <v>44027</v>
      </c>
      <c r="AI265" s="41">
        <v>44088</v>
      </c>
      <c r="AJ265" s="50" t="s">
        <v>317</v>
      </c>
      <c r="AK265" s="42">
        <v>44515</v>
      </c>
      <c r="AM265" s="43"/>
    </row>
    <row r="266" spans="1:39" s="7" customFormat="1" x14ac:dyDescent="0.25">
      <c r="A266" s="7" t="str">
        <f>+MID(Tabla1[[#This Row],[N° Decreto
Expansión]],1,4)</f>
        <v>2020</v>
      </c>
      <c r="B266" s="7" t="str">
        <f>+RIGHT(Tabla1[[#This Row],[N° Decreto
Expansión]],3)</f>
        <v>171</v>
      </c>
      <c r="C266" s="32" t="s">
        <v>951</v>
      </c>
      <c r="D266" s="7" t="s">
        <v>307</v>
      </c>
      <c r="E266" s="7" t="s">
        <v>388</v>
      </c>
      <c r="F266" s="7" t="s">
        <v>308</v>
      </c>
      <c r="G266" s="45" t="s">
        <v>389</v>
      </c>
      <c r="H266" s="7" t="s">
        <v>310</v>
      </c>
      <c r="I266" s="7" t="s">
        <v>391</v>
      </c>
      <c r="J266" s="7">
        <v>1</v>
      </c>
      <c r="K266" s="33" t="s">
        <v>312</v>
      </c>
      <c r="L266" s="7" t="s">
        <v>392</v>
      </c>
      <c r="M266" s="7" t="s">
        <v>392</v>
      </c>
      <c r="N266" s="7" t="s">
        <v>1083</v>
      </c>
      <c r="O266" s="7" t="s">
        <v>500</v>
      </c>
      <c r="P266" s="7" t="s">
        <v>559</v>
      </c>
      <c r="Q266" s="34">
        <v>44467</v>
      </c>
      <c r="R266" s="33" t="s">
        <v>317</v>
      </c>
      <c r="S266" s="33" t="s">
        <v>317</v>
      </c>
      <c r="T266" s="36">
        <v>1.07</v>
      </c>
      <c r="U266" s="33">
        <v>18</v>
      </c>
      <c r="V266" s="37">
        <v>222468</v>
      </c>
      <c r="W266" s="37">
        <f>Tabla1[[#This Row],[V.I. Adj]]/1000000</f>
        <v>0.222468</v>
      </c>
      <c r="X266" s="48" t="s">
        <v>317</v>
      </c>
      <c r="Y266" s="48" t="s">
        <v>317</v>
      </c>
      <c r="Z266" s="48" t="s">
        <v>317</v>
      </c>
      <c r="AA266" s="48" t="s">
        <v>317</v>
      </c>
      <c r="AB266" s="48" t="s">
        <v>317</v>
      </c>
      <c r="AC266" s="7" t="s">
        <v>954</v>
      </c>
      <c r="AD266" s="7" t="s">
        <v>1084</v>
      </c>
      <c r="AE266" s="7" t="s">
        <v>317</v>
      </c>
      <c r="AF266" s="7" t="s">
        <v>1085</v>
      </c>
      <c r="AG266" s="40" t="s">
        <v>319</v>
      </c>
      <c r="AH266" s="41">
        <v>44027</v>
      </c>
      <c r="AI266" s="41">
        <v>44088</v>
      </c>
      <c r="AJ266" s="50" t="s">
        <v>317</v>
      </c>
      <c r="AK266" s="42">
        <v>44515</v>
      </c>
      <c r="AM266" s="43"/>
    </row>
    <row r="267" spans="1:39" s="7" customFormat="1" x14ac:dyDescent="0.25">
      <c r="A267" s="7" t="str">
        <f>+MID(Tabla1[[#This Row],[N° Decreto
Expansión]],1,4)</f>
        <v>2020</v>
      </c>
      <c r="B267" s="7" t="str">
        <f>+RIGHT(Tabla1[[#This Row],[N° Decreto
Expansión]],3)</f>
        <v>171</v>
      </c>
      <c r="C267" s="32" t="s">
        <v>951</v>
      </c>
      <c r="D267" s="7" t="s">
        <v>307</v>
      </c>
      <c r="E267" s="7" t="s">
        <v>388</v>
      </c>
      <c r="F267" s="7" t="s">
        <v>308</v>
      </c>
      <c r="G267" s="45" t="s">
        <v>389</v>
      </c>
      <c r="H267" s="7" t="s">
        <v>310</v>
      </c>
      <c r="I267" s="7" t="s">
        <v>391</v>
      </c>
      <c r="J267" s="7">
        <v>1</v>
      </c>
      <c r="K267" s="33" t="s">
        <v>312</v>
      </c>
      <c r="L267" s="7" t="s">
        <v>463</v>
      </c>
      <c r="M267" s="7" t="s">
        <v>463</v>
      </c>
      <c r="N267" s="7" t="s">
        <v>1086</v>
      </c>
      <c r="O267" s="7" t="s">
        <v>558</v>
      </c>
      <c r="P267" s="7" t="s">
        <v>559</v>
      </c>
      <c r="Q267" s="34">
        <v>44467</v>
      </c>
      <c r="R267" s="33" t="s">
        <v>317</v>
      </c>
      <c r="S267" s="33" t="s">
        <v>317</v>
      </c>
      <c r="T267" s="36">
        <v>0.25154100000000001</v>
      </c>
      <c r="U267" s="33">
        <v>18</v>
      </c>
      <c r="V267" s="37">
        <v>290000</v>
      </c>
      <c r="W267" s="37">
        <f>Tabla1[[#This Row],[V.I. Adj]]/1000000</f>
        <v>0.28999999999999998</v>
      </c>
      <c r="X267" s="48" t="s">
        <v>317</v>
      </c>
      <c r="Y267" s="48" t="s">
        <v>317</v>
      </c>
      <c r="Z267" s="48" t="s">
        <v>317</v>
      </c>
      <c r="AA267" s="48" t="s">
        <v>317</v>
      </c>
      <c r="AB267" s="48" t="s">
        <v>317</v>
      </c>
      <c r="AC267" s="7" t="s">
        <v>954</v>
      </c>
      <c r="AD267" s="7" t="s">
        <v>317</v>
      </c>
      <c r="AE267" s="7" t="s">
        <v>317</v>
      </c>
      <c r="AF267" s="7" t="s">
        <v>1087</v>
      </c>
      <c r="AG267" s="40" t="s">
        <v>319</v>
      </c>
      <c r="AH267" s="41">
        <v>44027</v>
      </c>
      <c r="AI267" s="41">
        <v>44088</v>
      </c>
      <c r="AJ267" s="50" t="s">
        <v>317</v>
      </c>
      <c r="AK267" s="42">
        <v>44515</v>
      </c>
      <c r="AM267" s="43"/>
    </row>
    <row r="268" spans="1:39" s="7" customFormat="1" x14ac:dyDescent="0.25">
      <c r="A268" s="7" t="str">
        <f>+MID(Tabla1[[#This Row],[N° Decreto
Expansión]],1,4)</f>
        <v>2020</v>
      </c>
      <c r="B268" s="7" t="str">
        <f>+RIGHT(Tabla1[[#This Row],[N° Decreto
Expansión]],3)</f>
        <v>171</v>
      </c>
      <c r="C268" s="32" t="s">
        <v>951</v>
      </c>
      <c r="D268" s="7" t="s">
        <v>307</v>
      </c>
      <c r="E268" s="7" t="s">
        <v>388</v>
      </c>
      <c r="F268" s="7" t="s">
        <v>308</v>
      </c>
      <c r="G268" s="45" t="s">
        <v>389</v>
      </c>
      <c r="H268" s="7" t="s">
        <v>310</v>
      </c>
      <c r="I268" s="7" t="s">
        <v>391</v>
      </c>
      <c r="J268" s="7">
        <v>1</v>
      </c>
      <c r="K268" s="33" t="s">
        <v>312</v>
      </c>
      <c r="L268" s="7" t="s">
        <v>334</v>
      </c>
      <c r="M268" s="7" t="s">
        <v>334</v>
      </c>
      <c r="N268" s="7" t="s">
        <v>1088</v>
      </c>
      <c r="O268" s="7" t="s">
        <v>34</v>
      </c>
      <c r="P268" s="7" t="s">
        <v>559</v>
      </c>
      <c r="Q268" s="34">
        <v>44467</v>
      </c>
      <c r="R268" s="33" t="s">
        <v>317</v>
      </c>
      <c r="S268" s="33" t="s">
        <v>317</v>
      </c>
      <c r="T268" s="36">
        <v>4.1005649999999996</v>
      </c>
      <c r="U268" s="33">
        <v>24</v>
      </c>
      <c r="V268" s="37">
        <v>4715000</v>
      </c>
      <c r="W268" s="37">
        <f>Tabla1[[#This Row],[V.I. Adj]]/1000000</f>
        <v>4.7149999999999999</v>
      </c>
      <c r="X268" s="48" t="s">
        <v>317</v>
      </c>
      <c r="Y268" s="48" t="s">
        <v>317</v>
      </c>
      <c r="Z268" s="48" t="s">
        <v>317</v>
      </c>
      <c r="AA268" s="48" t="s">
        <v>317</v>
      </c>
      <c r="AB268" s="48" t="s">
        <v>317</v>
      </c>
      <c r="AC268" s="7" t="s">
        <v>34</v>
      </c>
      <c r="AD268" s="7" t="s">
        <v>1078</v>
      </c>
      <c r="AE268" s="7" t="s">
        <v>317</v>
      </c>
      <c r="AF268" s="7" t="s">
        <v>1089</v>
      </c>
      <c r="AG268" s="40" t="s">
        <v>319</v>
      </c>
      <c r="AH268" s="41">
        <v>44027</v>
      </c>
      <c r="AI268" s="41">
        <v>44088</v>
      </c>
      <c r="AJ268" s="50" t="s">
        <v>317</v>
      </c>
      <c r="AK268" s="42">
        <v>44515</v>
      </c>
      <c r="AM268" s="43"/>
    </row>
    <row r="269" spans="1:39" s="7" customFormat="1" x14ac:dyDescent="0.25">
      <c r="A269" s="7" t="str">
        <f>+MID(Tabla1[[#This Row],[N° Decreto
Expansión]],1,4)</f>
        <v>2020</v>
      </c>
      <c r="B269" s="7" t="str">
        <f>+RIGHT(Tabla1[[#This Row],[N° Decreto
Expansión]],3)</f>
        <v>185</v>
      </c>
      <c r="C269" s="32" t="s">
        <v>1090</v>
      </c>
      <c r="D269" s="7" t="s">
        <v>562</v>
      </c>
      <c r="E269" s="7" t="s">
        <v>479</v>
      </c>
      <c r="F269" s="7" t="s">
        <v>480</v>
      </c>
      <c r="G269" s="45" t="s">
        <v>309</v>
      </c>
      <c r="H269" s="7" t="s">
        <v>310</v>
      </c>
      <c r="I269" s="7" t="s">
        <v>391</v>
      </c>
      <c r="J269" s="7">
        <v>1</v>
      </c>
      <c r="K269" s="33" t="s">
        <v>312</v>
      </c>
      <c r="L269" s="7" t="s">
        <v>355</v>
      </c>
      <c r="M269" s="7" t="s">
        <v>355</v>
      </c>
      <c r="N269" s="7" t="s">
        <v>1091</v>
      </c>
      <c r="O269" s="7" t="s">
        <v>930</v>
      </c>
      <c r="P269" s="7" t="s">
        <v>559</v>
      </c>
      <c r="Q269" s="34">
        <v>44467</v>
      </c>
      <c r="R269" s="33" t="s">
        <v>317</v>
      </c>
      <c r="S269" s="33" t="s">
        <v>317</v>
      </c>
      <c r="T269" s="36">
        <v>27.87</v>
      </c>
      <c r="U269" s="33">
        <v>30</v>
      </c>
      <c r="V269" s="37">
        <f>-PV(Tabla1[[#This Row],[Tasa]],Tabla1[[#This Row],[Periodo]],Tabla1[[#This Row],[AVI]])</f>
        <v>11269372.059653571</v>
      </c>
      <c r="W269" s="37">
        <f>Tabla1[[#This Row],[V.I. Adj]]/1000000</f>
        <v>11.269372059653572</v>
      </c>
      <c r="X269" s="37">
        <v>1063749</v>
      </c>
      <c r="Y269" s="62" t="s">
        <v>1092</v>
      </c>
      <c r="Z269" s="54">
        <f>+Tabla1[[#This Row],[AVI]]+Tabla1[[#This Row],[COMA]]</f>
        <v>1063749</v>
      </c>
      <c r="AA269" s="54">
        <v>20</v>
      </c>
      <c r="AB269" s="57">
        <v>7.0000000000000007E-2</v>
      </c>
      <c r="AC269" s="7" t="s">
        <v>317</v>
      </c>
      <c r="AD269" s="7" t="s">
        <v>317</v>
      </c>
      <c r="AE269" s="7" t="s">
        <v>317</v>
      </c>
      <c r="AF269" s="7" t="s">
        <v>1093</v>
      </c>
      <c r="AG269" s="40" t="s">
        <v>319</v>
      </c>
      <c r="AH269" s="41">
        <v>44027</v>
      </c>
      <c r="AI269" s="41">
        <v>44088</v>
      </c>
      <c r="AJ269" s="50" t="s">
        <v>317</v>
      </c>
      <c r="AK269" s="42">
        <v>44515</v>
      </c>
      <c r="AM269" s="43"/>
    </row>
    <row r="270" spans="1:39" s="7" customFormat="1" x14ac:dyDescent="0.25">
      <c r="A270" s="7" t="str">
        <f>+MID(Tabla1[[#This Row],[N° Decreto
Expansión]],1,4)</f>
        <v>2020</v>
      </c>
      <c r="B270" s="7" t="str">
        <f>+RIGHT(Tabla1[[#This Row],[N° Decreto
Expansión]],3)</f>
        <v>185</v>
      </c>
      <c r="C270" s="32" t="s">
        <v>1090</v>
      </c>
      <c r="D270" s="7" t="s">
        <v>307</v>
      </c>
      <c r="E270" s="7" t="s">
        <v>479</v>
      </c>
      <c r="F270" s="7" t="s">
        <v>480</v>
      </c>
      <c r="G270" s="45" t="s">
        <v>309</v>
      </c>
      <c r="H270" s="7" t="s">
        <v>310</v>
      </c>
      <c r="I270" s="7" t="s">
        <v>391</v>
      </c>
      <c r="J270" s="7">
        <v>1</v>
      </c>
      <c r="K270" s="33" t="s">
        <v>33</v>
      </c>
      <c r="L270" s="7" t="s">
        <v>334</v>
      </c>
      <c r="M270" s="7" t="s">
        <v>334</v>
      </c>
      <c r="N270" s="7" t="s">
        <v>1094</v>
      </c>
      <c r="O270" s="7" t="s">
        <v>34</v>
      </c>
      <c r="P270" s="7" t="s">
        <v>559</v>
      </c>
      <c r="Q270" s="34">
        <v>44467</v>
      </c>
      <c r="R270" s="33" t="s">
        <v>317</v>
      </c>
      <c r="S270" s="33" t="s">
        <v>317</v>
      </c>
      <c r="T270" s="36">
        <v>4.78</v>
      </c>
      <c r="U270" s="33">
        <v>36</v>
      </c>
      <c r="V270" s="37">
        <f>-PV(Tabla1[[#This Row],[Tasa]],Tabla1[[#This Row],[Periodo]],Tabla1[[#This Row],[AVI]])</f>
        <v>2012449.5400924955</v>
      </c>
      <c r="W270" s="37">
        <f>Tabla1[[#This Row],[V.I. Adj]]/1000000</f>
        <v>2.0124495400924953</v>
      </c>
      <c r="X270" s="37">
        <v>189961</v>
      </c>
      <c r="Y270" s="37">
        <v>146545</v>
      </c>
      <c r="Z270" s="54">
        <f>+Tabla1[[#This Row],[AVI]]+Tabla1[[#This Row],[COMA]]</f>
        <v>336506</v>
      </c>
      <c r="AA270" s="54">
        <v>20</v>
      </c>
      <c r="AB270" s="57">
        <v>7.0000000000000007E-2</v>
      </c>
      <c r="AC270" s="7" t="s">
        <v>317</v>
      </c>
      <c r="AD270" s="7" t="s">
        <v>1078</v>
      </c>
      <c r="AE270" s="7" t="s">
        <v>317</v>
      </c>
      <c r="AF270" s="7" t="s">
        <v>1095</v>
      </c>
      <c r="AG270" s="40" t="s">
        <v>319</v>
      </c>
      <c r="AH270" s="41">
        <v>44027</v>
      </c>
      <c r="AI270" s="41">
        <v>44088</v>
      </c>
      <c r="AJ270" s="50" t="s">
        <v>317</v>
      </c>
      <c r="AK270" s="42">
        <v>44515</v>
      </c>
      <c r="AM270" s="43"/>
    </row>
    <row r="271" spans="1:39" s="7" customFormat="1" x14ac:dyDescent="0.25">
      <c r="A271" s="7" t="str">
        <f>+MID(Tabla1[[#This Row],[N° Decreto
Expansión]],1,4)</f>
        <v>2020</v>
      </c>
      <c r="B271" s="7" t="str">
        <f>+RIGHT(Tabla1[[#This Row],[N° Decreto
Expansión]],3)</f>
        <v>185</v>
      </c>
      <c r="C271" s="32" t="s">
        <v>1090</v>
      </c>
      <c r="D271" s="7" t="s">
        <v>307</v>
      </c>
      <c r="E271" s="7" t="s">
        <v>479</v>
      </c>
      <c r="F271" s="7" t="s">
        <v>480</v>
      </c>
      <c r="G271" s="45" t="s">
        <v>309</v>
      </c>
      <c r="H271" s="7" t="s">
        <v>310</v>
      </c>
      <c r="I271" s="7" t="s">
        <v>391</v>
      </c>
      <c r="J271" s="7">
        <v>1</v>
      </c>
      <c r="K271" s="33" t="s">
        <v>312</v>
      </c>
      <c r="L271" s="7" t="s">
        <v>345</v>
      </c>
      <c r="M271" s="7" t="s">
        <v>345</v>
      </c>
      <c r="N271" s="7" t="s">
        <v>1096</v>
      </c>
      <c r="O271" s="7" t="s">
        <v>565</v>
      </c>
      <c r="P271" s="7" t="s">
        <v>559</v>
      </c>
      <c r="Q271" s="34">
        <v>44467</v>
      </c>
      <c r="R271" s="33" t="s">
        <v>317</v>
      </c>
      <c r="S271" s="33" t="s">
        <v>317</v>
      </c>
      <c r="T271" s="36">
        <v>20.69</v>
      </c>
      <c r="U271" s="33">
        <v>36</v>
      </c>
      <c r="V271" s="37">
        <f>-PV(Tabla1[[#This Row],[Tasa]],Tabla1[[#This Row],[Periodo]],Tabla1[[#This Row],[AVI]])</f>
        <v>7376177.7645688364</v>
      </c>
      <c r="W271" s="37">
        <f>Tabla1[[#This Row],[V.I. Adj]]/1000000</f>
        <v>7.376177764568836</v>
      </c>
      <c r="X271" s="37">
        <v>696259</v>
      </c>
      <c r="Y271" s="37">
        <v>221567</v>
      </c>
      <c r="Z271" s="54">
        <f>+Tabla1[[#This Row],[AVI]]+Tabla1[[#This Row],[COMA]]</f>
        <v>917826</v>
      </c>
      <c r="AA271" s="54">
        <v>20</v>
      </c>
      <c r="AB271" s="57">
        <v>7.0000000000000007E-2</v>
      </c>
      <c r="AC271" s="7" t="s">
        <v>317</v>
      </c>
      <c r="AD271" s="7" t="s">
        <v>317</v>
      </c>
      <c r="AE271" s="7" t="s">
        <v>317</v>
      </c>
      <c r="AF271" s="7" t="s">
        <v>1097</v>
      </c>
      <c r="AG271" s="40" t="s">
        <v>319</v>
      </c>
      <c r="AH271" s="41">
        <v>44027</v>
      </c>
      <c r="AI271" s="41">
        <v>44088</v>
      </c>
      <c r="AJ271" s="50" t="s">
        <v>317</v>
      </c>
      <c r="AK271" s="42">
        <v>44515</v>
      </c>
      <c r="AM271" s="43"/>
    </row>
    <row r="272" spans="1:39" s="7" customFormat="1" x14ac:dyDescent="0.25">
      <c r="A272" s="7" t="str">
        <f>+MID(Tabla1[[#This Row],[N° Decreto
Expansión]],1,4)</f>
        <v>2020</v>
      </c>
      <c r="B272" s="7" t="str">
        <f>+RIGHT(Tabla1[[#This Row],[N° Decreto
Expansión]],3)</f>
        <v>185</v>
      </c>
      <c r="C272" s="32" t="s">
        <v>1090</v>
      </c>
      <c r="D272" s="7" t="s">
        <v>307</v>
      </c>
      <c r="E272" s="7" t="s">
        <v>479</v>
      </c>
      <c r="F272" s="7" t="s">
        <v>480</v>
      </c>
      <c r="G272" s="45" t="s">
        <v>309</v>
      </c>
      <c r="H272" s="7" t="s">
        <v>310</v>
      </c>
      <c r="I272" s="7" t="s">
        <v>391</v>
      </c>
      <c r="J272" s="7">
        <v>1</v>
      </c>
      <c r="K272" s="33" t="s">
        <v>584</v>
      </c>
      <c r="L272" s="7" t="s">
        <v>345</v>
      </c>
      <c r="M272" s="7" t="s">
        <v>345</v>
      </c>
      <c r="N272" s="7" t="s">
        <v>1098</v>
      </c>
      <c r="O272" s="7" t="s">
        <v>1099</v>
      </c>
      <c r="P272" s="7" t="s">
        <v>559</v>
      </c>
      <c r="Q272" s="34">
        <v>44467</v>
      </c>
      <c r="R272" s="33" t="s">
        <v>317</v>
      </c>
      <c r="S272" s="33" t="s">
        <v>317</v>
      </c>
      <c r="T272" s="36">
        <v>5.54</v>
      </c>
      <c r="U272" s="33">
        <v>30</v>
      </c>
      <c r="V272" s="37">
        <f>-PV(Tabla1[[#This Row],[Tasa]],Tabla1[[#This Row],[Periodo]],Tabla1[[#This Row],[AVI]])</f>
        <v>4999760.2710573887</v>
      </c>
      <c r="W272" s="37">
        <f>Tabla1[[#This Row],[V.I. Adj]]/1000000</f>
        <v>4.9997602710573892</v>
      </c>
      <c r="X272" s="37">
        <v>471942</v>
      </c>
      <c r="Y272" s="37">
        <v>83376</v>
      </c>
      <c r="Z272" s="54">
        <f>+Tabla1[[#This Row],[AVI]]+Tabla1[[#This Row],[COMA]]</f>
        <v>555318</v>
      </c>
      <c r="AA272" s="54">
        <v>20</v>
      </c>
      <c r="AB272" s="57">
        <v>7.0000000000000007E-2</v>
      </c>
      <c r="AC272" s="7" t="s">
        <v>317</v>
      </c>
      <c r="AD272" s="7" t="s">
        <v>317</v>
      </c>
      <c r="AE272" s="7" t="s">
        <v>317</v>
      </c>
      <c r="AF272" s="7" t="s">
        <v>1100</v>
      </c>
      <c r="AG272" s="40" t="s">
        <v>319</v>
      </c>
      <c r="AH272" s="41">
        <v>44027</v>
      </c>
      <c r="AI272" s="41">
        <v>44088</v>
      </c>
      <c r="AJ272" s="50" t="s">
        <v>317</v>
      </c>
      <c r="AK272" s="42">
        <v>44515</v>
      </c>
      <c r="AM272" s="43"/>
    </row>
    <row r="273" spans="1:40" s="7" customFormat="1" x14ac:dyDescent="0.25">
      <c r="A273" s="7" t="str">
        <f>+MID(Tabla1[[#This Row],[N° Decreto
Expansión]],1,4)</f>
        <v>2020</v>
      </c>
      <c r="B273" s="7" t="str">
        <f>+RIGHT(Tabla1[[#This Row],[N° Decreto
Expansión]],3)</f>
        <v>185</v>
      </c>
      <c r="C273" s="32" t="s">
        <v>1090</v>
      </c>
      <c r="D273" s="7" t="s">
        <v>307</v>
      </c>
      <c r="E273" s="7" t="s">
        <v>479</v>
      </c>
      <c r="F273" s="7" t="s">
        <v>480</v>
      </c>
      <c r="G273" s="45" t="s">
        <v>309</v>
      </c>
      <c r="H273" s="7" t="s">
        <v>310</v>
      </c>
      <c r="I273" s="7" t="s">
        <v>391</v>
      </c>
      <c r="J273" s="7">
        <v>1</v>
      </c>
      <c r="K273" s="33" t="s">
        <v>312</v>
      </c>
      <c r="L273" s="7" t="s">
        <v>355</v>
      </c>
      <c r="M273" s="7" t="s">
        <v>355</v>
      </c>
      <c r="N273" s="7" t="s">
        <v>1101</v>
      </c>
      <c r="O273" s="7" t="s">
        <v>500</v>
      </c>
      <c r="P273" s="7" t="s">
        <v>559</v>
      </c>
      <c r="Q273" s="34">
        <v>44467</v>
      </c>
      <c r="R273" s="33" t="s">
        <v>317</v>
      </c>
      <c r="S273" s="33" t="s">
        <v>317</v>
      </c>
      <c r="T273" s="36">
        <v>27.42</v>
      </c>
      <c r="U273" s="33">
        <v>36</v>
      </c>
      <c r="V273" s="37">
        <f>-PV(Tabla1[[#This Row],[Tasa]],Tabla1[[#This Row],[Periodo]],Tabla1[[#This Row],[AVI]])</f>
        <v>27133071.465188626</v>
      </c>
      <c r="W273" s="37">
        <f>Tabla1[[#This Row],[V.I. Adj]]/1000000</f>
        <v>27.133071465188625</v>
      </c>
      <c r="X273" s="37">
        <v>2561170</v>
      </c>
      <c r="Y273" s="37">
        <v>297177</v>
      </c>
      <c r="Z273" s="54">
        <f>+Tabla1[[#This Row],[AVI]]+Tabla1[[#This Row],[COMA]]</f>
        <v>2858347</v>
      </c>
      <c r="AA273" s="54">
        <v>20</v>
      </c>
      <c r="AB273" s="57">
        <v>7.0000000000000007E-2</v>
      </c>
      <c r="AC273" s="7" t="s">
        <v>317</v>
      </c>
      <c r="AD273" s="7" t="s">
        <v>1081</v>
      </c>
      <c r="AE273" s="7" t="s">
        <v>317</v>
      </c>
      <c r="AF273" s="7" t="s">
        <v>1102</v>
      </c>
      <c r="AG273" s="40" t="s">
        <v>319</v>
      </c>
      <c r="AH273" s="41">
        <v>44027</v>
      </c>
      <c r="AI273" s="41">
        <v>44088</v>
      </c>
      <c r="AJ273" s="50" t="s">
        <v>317</v>
      </c>
      <c r="AK273" s="42">
        <v>44515</v>
      </c>
      <c r="AM273" s="43"/>
    </row>
    <row r="274" spans="1:40" s="7" customFormat="1" x14ac:dyDescent="0.25">
      <c r="A274" s="7" t="str">
        <f>+MID(Tabla1[[#This Row],[N° Decreto
Expansión]],1,4)</f>
        <v>2020</v>
      </c>
      <c r="B274" s="7" t="str">
        <f>+RIGHT(Tabla1[[#This Row],[N° Decreto
Expansión]],3)</f>
        <v>185</v>
      </c>
      <c r="C274" s="32" t="s">
        <v>1090</v>
      </c>
      <c r="D274" s="7" t="s">
        <v>307</v>
      </c>
      <c r="E274" s="7" t="s">
        <v>479</v>
      </c>
      <c r="F274" s="7" t="s">
        <v>480</v>
      </c>
      <c r="G274" s="45" t="s">
        <v>309</v>
      </c>
      <c r="H274" s="7" t="s">
        <v>310</v>
      </c>
      <c r="I274" s="7" t="s">
        <v>391</v>
      </c>
      <c r="J274" s="7">
        <v>1</v>
      </c>
      <c r="K274" s="33" t="s">
        <v>312</v>
      </c>
      <c r="L274" s="7" t="s">
        <v>408</v>
      </c>
      <c r="M274" s="7" t="s">
        <v>408</v>
      </c>
      <c r="N274" s="7" t="s">
        <v>1103</v>
      </c>
      <c r="O274" s="7" t="s">
        <v>930</v>
      </c>
      <c r="P274" s="7" t="s">
        <v>559</v>
      </c>
      <c r="Q274" s="34">
        <v>44467</v>
      </c>
      <c r="R274" s="33" t="s">
        <v>317</v>
      </c>
      <c r="S274" s="33" t="s">
        <v>317</v>
      </c>
      <c r="T274" s="36">
        <v>6.96</v>
      </c>
      <c r="U274" s="33">
        <v>36</v>
      </c>
      <c r="V274" s="37">
        <f>-PV(Tabla1[[#This Row],[Tasa]],Tabla1[[#This Row],[Periodo]],Tabla1[[#This Row],[AVI]])</f>
        <v>5983531.0279102642</v>
      </c>
      <c r="W274" s="37">
        <f>Tabla1[[#This Row],[V.I. Adj]]/1000000</f>
        <v>5.9835310279102645</v>
      </c>
      <c r="X274" s="37">
        <v>564803</v>
      </c>
      <c r="Y274" s="37">
        <v>17700</v>
      </c>
      <c r="Z274" s="54">
        <f>+Tabla1[[#This Row],[AVI]]+Tabla1[[#This Row],[COMA]]</f>
        <v>582503</v>
      </c>
      <c r="AA274" s="54">
        <v>20</v>
      </c>
      <c r="AB274" s="57">
        <v>7.0000000000000007E-2</v>
      </c>
      <c r="AC274" s="7" t="s">
        <v>317</v>
      </c>
      <c r="AD274" s="7" t="s">
        <v>317</v>
      </c>
      <c r="AE274" s="7" t="s">
        <v>317</v>
      </c>
      <c r="AF274" s="7" t="s">
        <v>1104</v>
      </c>
      <c r="AG274" s="40" t="s">
        <v>319</v>
      </c>
      <c r="AH274" s="41">
        <v>44027</v>
      </c>
      <c r="AI274" s="41">
        <v>44088</v>
      </c>
      <c r="AJ274" s="50" t="s">
        <v>317</v>
      </c>
      <c r="AK274" s="42">
        <v>44515</v>
      </c>
      <c r="AM274" s="43"/>
    </row>
    <row r="275" spans="1:40" s="7" customFormat="1" x14ac:dyDescent="0.25">
      <c r="A275" s="7" t="str">
        <f>+MID(Tabla1[[#This Row],[N° Decreto
Expansión]],1,4)</f>
        <v>2020</v>
      </c>
      <c r="B275" s="7" t="str">
        <f>+RIGHT(Tabla1[[#This Row],[N° Decreto
Expansión]],3)</f>
        <v>185</v>
      </c>
      <c r="C275" s="32" t="s">
        <v>1090</v>
      </c>
      <c r="D275" s="7" t="s">
        <v>307</v>
      </c>
      <c r="E275" s="7" t="s">
        <v>479</v>
      </c>
      <c r="F275" s="7" t="s">
        <v>480</v>
      </c>
      <c r="G275" s="45" t="s">
        <v>309</v>
      </c>
      <c r="H275" s="7" t="s">
        <v>310</v>
      </c>
      <c r="I275" s="7" t="s">
        <v>391</v>
      </c>
      <c r="J275" s="7">
        <v>1</v>
      </c>
      <c r="K275" s="33" t="s">
        <v>312</v>
      </c>
      <c r="L275" s="7" t="s">
        <v>475</v>
      </c>
      <c r="M275" s="7" t="s">
        <v>475</v>
      </c>
      <c r="N275" s="7" t="s">
        <v>1105</v>
      </c>
      <c r="O275" s="7" t="s">
        <v>558</v>
      </c>
      <c r="P275" s="7" t="s">
        <v>559</v>
      </c>
      <c r="Q275" s="34">
        <v>44467</v>
      </c>
      <c r="R275" s="33" t="s">
        <v>317</v>
      </c>
      <c r="S275" s="33" t="s">
        <v>317</v>
      </c>
      <c r="T275" s="36">
        <v>13.67</v>
      </c>
      <c r="U275" s="33">
        <v>36</v>
      </c>
      <c r="V275" s="37">
        <f>-PV(Tabla1[[#This Row],[Tasa]],Tabla1[[#This Row],[Periodo]],Tabla1[[#This Row],[AVI]])</f>
        <v>7309869.8294061515</v>
      </c>
      <c r="W275" s="37">
        <f>Tabla1[[#This Row],[V.I. Adj]]/1000000</f>
        <v>7.3098698294061517</v>
      </c>
      <c r="X275" s="37">
        <v>690000</v>
      </c>
      <c r="Y275" s="37">
        <v>166800</v>
      </c>
      <c r="Z275" s="54">
        <f>+Tabla1[[#This Row],[AVI]]+Tabla1[[#This Row],[COMA]]</f>
        <v>856800</v>
      </c>
      <c r="AA275" s="54">
        <v>20</v>
      </c>
      <c r="AB275" s="57">
        <v>7.0000000000000007E-2</v>
      </c>
      <c r="AC275" s="7" t="s">
        <v>317</v>
      </c>
      <c r="AD275" s="7" t="s">
        <v>1106</v>
      </c>
      <c r="AE275" s="7" t="s">
        <v>317</v>
      </c>
      <c r="AF275" s="7" t="s">
        <v>1107</v>
      </c>
      <c r="AG275" s="40" t="s">
        <v>319</v>
      </c>
      <c r="AH275" s="41">
        <v>44027</v>
      </c>
      <c r="AI275" s="41">
        <v>44088</v>
      </c>
      <c r="AJ275" s="50" t="s">
        <v>317</v>
      </c>
      <c r="AK275" s="42">
        <v>44515</v>
      </c>
      <c r="AM275" s="43"/>
    </row>
    <row r="276" spans="1:40" s="7" customFormat="1" x14ac:dyDescent="0.25">
      <c r="A276" s="7" t="str">
        <f>+MID(Tabla1[[#This Row],[N° Decreto
Expansión]],1,4)</f>
        <v>2020</v>
      </c>
      <c r="B276" s="7" t="str">
        <f>+RIGHT(Tabla1[[#This Row],[N° Decreto
Expansión]],3)</f>
        <v>185</v>
      </c>
      <c r="C276" s="32" t="s">
        <v>1090</v>
      </c>
      <c r="D276" s="7" t="s">
        <v>307</v>
      </c>
      <c r="E276" s="7" t="s">
        <v>479</v>
      </c>
      <c r="F276" s="7" t="s">
        <v>480</v>
      </c>
      <c r="G276" s="45" t="s">
        <v>309</v>
      </c>
      <c r="H276" s="7" t="s">
        <v>310</v>
      </c>
      <c r="I276" s="7" t="s">
        <v>391</v>
      </c>
      <c r="J276" s="7">
        <v>1</v>
      </c>
      <c r="K276" s="33" t="s">
        <v>33</v>
      </c>
      <c r="L276" s="52" t="s">
        <v>556</v>
      </c>
      <c r="M276" s="7" t="s">
        <v>1108</v>
      </c>
      <c r="N276" s="7" t="s">
        <v>1109</v>
      </c>
      <c r="O276" s="7" t="s">
        <v>558</v>
      </c>
      <c r="P276" s="7" t="s">
        <v>559</v>
      </c>
      <c r="Q276" s="34">
        <v>44467</v>
      </c>
      <c r="R276" s="33" t="s">
        <v>317</v>
      </c>
      <c r="S276" s="33" t="s">
        <v>317</v>
      </c>
      <c r="T276" s="36">
        <v>5.41</v>
      </c>
      <c r="U276" s="33">
        <v>36</v>
      </c>
      <c r="V276" s="37">
        <f>-PV(Tabla1[[#This Row],[Tasa]],Tabla1[[#This Row],[Periodo]],Tabla1[[#This Row],[AVI]])</f>
        <v>4873246.5529374341</v>
      </c>
      <c r="W276" s="37">
        <f>Tabla1[[#This Row],[V.I. Adj]]/1000000</f>
        <v>4.8732465529374345</v>
      </c>
      <c r="X276" s="37">
        <v>460000</v>
      </c>
      <c r="Y276" s="37">
        <v>111200</v>
      </c>
      <c r="Z276" s="54">
        <f>+Tabla1[[#This Row],[AVI]]+Tabla1[[#This Row],[COMA]]</f>
        <v>571200</v>
      </c>
      <c r="AA276" s="54">
        <v>20</v>
      </c>
      <c r="AB276" s="57">
        <v>7.0000000000000007E-2</v>
      </c>
      <c r="AC276" s="7" t="s">
        <v>317</v>
      </c>
      <c r="AD276" s="7" t="s">
        <v>1106</v>
      </c>
      <c r="AE276" s="7" t="s">
        <v>317</v>
      </c>
      <c r="AF276" s="7" t="s">
        <v>1110</v>
      </c>
      <c r="AG276" s="40" t="s">
        <v>319</v>
      </c>
      <c r="AH276" s="41">
        <v>44027</v>
      </c>
      <c r="AI276" s="41">
        <v>44088</v>
      </c>
      <c r="AJ276" s="50" t="s">
        <v>317</v>
      </c>
      <c r="AK276" s="42">
        <v>44515</v>
      </c>
      <c r="AM276" s="43"/>
    </row>
    <row r="277" spans="1:40" s="7" customFormat="1" x14ac:dyDescent="0.25">
      <c r="A277" s="7" t="str">
        <f>+MID(Tabla1[[#This Row],[N° Decreto
Expansión]],1,4)</f>
        <v>2020</v>
      </c>
      <c r="B277" s="7" t="str">
        <f>+RIGHT(Tabla1[[#This Row],[N° Decreto
Expansión]],3)</f>
        <v>185</v>
      </c>
      <c r="C277" s="32" t="s">
        <v>1090</v>
      </c>
      <c r="D277" s="7" t="s">
        <v>307</v>
      </c>
      <c r="E277" s="7" t="s">
        <v>479</v>
      </c>
      <c r="F277" s="7" t="s">
        <v>480</v>
      </c>
      <c r="G277" s="45" t="s">
        <v>309</v>
      </c>
      <c r="H277" s="7" t="s">
        <v>310</v>
      </c>
      <c r="I277" s="7" t="s">
        <v>391</v>
      </c>
      <c r="J277" s="7">
        <v>1</v>
      </c>
      <c r="K277" s="33" t="s">
        <v>33</v>
      </c>
      <c r="L277" s="7" t="s">
        <v>392</v>
      </c>
      <c r="M277" s="7" t="s">
        <v>392</v>
      </c>
      <c r="N277" s="7" t="s">
        <v>1111</v>
      </c>
      <c r="O277" s="7" t="s">
        <v>500</v>
      </c>
      <c r="P277" s="7" t="s">
        <v>559</v>
      </c>
      <c r="Q277" s="34">
        <v>44467</v>
      </c>
      <c r="R277" s="33" t="s">
        <v>317</v>
      </c>
      <c r="S277" s="33" t="s">
        <v>317</v>
      </c>
      <c r="T277" s="36">
        <v>3.3</v>
      </c>
      <c r="U277" s="33">
        <v>36</v>
      </c>
      <c r="V277" s="37">
        <f>-PV(Tabla1[[#This Row],[Tasa]],Tabla1[[#This Row],[Periodo]],Tabla1[[#This Row],[AVI]])</f>
        <v>3200790.7120262887</v>
      </c>
      <c r="W277" s="37">
        <f>Tabla1[[#This Row],[V.I. Adj]]/1000000</f>
        <v>3.2007907120262886</v>
      </c>
      <c r="X277" s="37">
        <v>302132</v>
      </c>
      <c r="Y277" s="37">
        <v>184687</v>
      </c>
      <c r="Z277" s="54">
        <f>+Tabla1[[#This Row],[AVI]]+Tabla1[[#This Row],[COMA]]</f>
        <v>486819</v>
      </c>
      <c r="AA277" s="54">
        <v>20</v>
      </c>
      <c r="AB277" s="57">
        <v>7.0000000000000007E-2</v>
      </c>
      <c r="AC277" s="7" t="s">
        <v>317</v>
      </c>
      <c r="AD277" s="7" t="s">
        <v>1084</v>
      </c>
      <c r="AE277" s="7" t="s">
        <v>317</v>
      </c>
      <c r="AF277" s="7" t="s">
        <v>1112</v>
      </c>
      <c r="AG277" s="40" t="s">
        <v>319</v>
      </c>
      <c r="AH277" s="41">
        <v>44027</v>
      </c>
      <c r="AI277" s="41">
        <v>44088</v>
      </c>
      <c r="AJ277" s="50" t="s">
        <v>317</v>
      </c>
      <c r="AK277" s="42">
        <v>44515</v>
      </c>
      <c r="AM277" s="43"/>
    </row>
    <row r="278" spans="1:40" x14ac:dyDescent="0.25">
      <c r="A278"/>
      <c r="B278"/>
      <c r="C278" t="s">
        <v>1113</v>
      </c>
      <c r="D278"/>
      <c r="E278"/>
      <c r="F278"/>
      <c r="G278"/>
      <c r="H278"/>
      <c r="I278">
        <f>SUBTOTAL(103,Tabla1[Proceso])</f>
        <v>276</v>
      </c>
      <c r="J278"/>
      <c r="K278"/>
      <c r="L278"/>
      <c r="M278"/>
      <c r="N278">
        <f>SUBTOTAL(103,Tabla1[Obra])</f>
        <v>276</v>
      </c>
      <c r="O278"/>
      <c r="P278"/>
      <c r="Q278"/>
      <c r="R278"/>
      <c r="S278"/>
      <c r="T278" s="63">
        <f>SUBTOTAL(109,Tabla1[V.I. Ref '[MMUSD']])</f>
        <v>2076.5039400016817</v>
      </c>
      <c r="U278" s="64" t="s">
        <v>1092</v>
      </c>
      <c r="V278" s="65">
        <f>SUBTOTAL(109,Tabla1[V.I. Adj])</f>
        <v>1616635166.2567701</v>
      </c>
      <c r="W278" s="64">
        <f>SUBTOTAL(109,Tabla1[V.I. Adj '[MMUSD']])</f>
        <v>1616.6351662567699</v>
      </c>
      <c r="X278"/>
      <c r="Y278"/>
      <c r="Z278"/>
      <c r="AA278"/>
      <c r="AB278"/>
      <c r="AC278"/>
      <c r="AD278"/>
      <c r="AE278"/>
      <c r="AF278"/>
      <c r="AG278" s="49"/>
      <c r="AH278"/>
      <c r="AI278"/>
      <c r="AJ278"/>
      <c r="AK278" s="66"/>
      <c r="AL278" s="67"/>
      <c r="AM278" s="68"/>
      <c r="AN278" s="67"/>
    </row>
    <row r="282" spans="1:40" x14ac:dyDescent="0.25">
      <c r="L282" s="17"/>
    </row>
    <row r="283" spans="1:40" x14ac:dyDescent="0.25">
      <c r="L283" s="17"/>
    </row>
    <row r="284" spans="1:40" x14ac:dyDescent="0.25">
      <c r="L284" s="17"/>
    </row>
    <row r="285" spans="1:40" x14ac:dyDescent="0.25">
      <c r="L285" s="17"/>
    </row>
    <row r="286" spans="1:40" x14ac:dyDescent="0.25">
      <c r="L286" s="17"/>
    </row>
    <row r="287" spans="1:40" x14ac:dyDescent="0.25">
      <c r="L287" s="17"/>
    </row>
    <row r="288" spans="1:40" x14ac:dyDescent="0.25">
      <c r="L288" s="17"/>
    </row>
    <row r="289" spans="12:12" x14ac:dyDescent="0.25">
      <c r="L289" s="17"/>
    </row>
    <row r="290" spans="12:12" x14ac:dyDescent="0.25">
      <c r="L290" s="17"/>
    </row>
    <row r="291" spans="12:12" x14ac:dyDescent="0.25">
      <c r="L291" s="17"/>
    </row>
    <row r="292" spans="12:12" x14ac:dyDescent="0.25">
      <c r="L292" s="17"/>
    </row>
    <row r="293" spans="12:12" x14ac:dyDescent="0.25">
      <c r="L293" s="17"/>
    </row>
    <row r="294" spans="12:12" x14ac:dyDescent="0.25">
      <c r="L294" s="17"/>
    </row>
    <row r="295" spans="12:12" x14ac:dyDescent="0.25">
      <c r="L295" s="17"/>
    </row>
  </sheetData>
  <phoneticPr fontId="1" type="noConversion"/>
  <hyperlinks>
    <hyperlink ref="R2" r:id="rId1" xr:uid="{33FE82F0-727C-45FC-BED6-02A5CFB0E28C}"/>
    <hyperlink ref="R3" r:id="rId2" xr:uid="{7FBC85CE-6C00-413A-BABF-025AEE0669A7}"/>
    <hyperlink ref="R5" r:id="rId3" xr:uid="{3C74B743-229E-477F-AD5D-0AE1676C327C}"/>
    <hyperlink ref="R6" r:id="rId4" xr:uid="{2DEA29D8-1B41-4D0F-B126-A9079B30105B}"/>
    <hyperlink ref="R7" r:id="rId5" xr:uid="{0B6A6766-04F6-438D-BE9F-D3442992A0E9}"/>
    <hyperlink ref="R8" r:id="rId6" xr:uid="{10E7F10E-E1D4-407E-8019-49442560A712}"/>
    <hyperlink ref="R9" r:id="rId7" xr:uid="{81848084-C801-471C-AC22-9A3D9C0FF451}"/>
    <hyperlink ref="R10" r:id="rId8" xr:uid="{04D3BA3E-2C8A-474D-A1B0-0B1019E752F2}"/>
    <hyperlink ref="R11" r:id="rId9" xr:uid="{D7DADC3C-52BA-406A-BF4F-C8FDFC6F6055}"/>
    <hyperlink ref="R12" r:id="rId10" xr:uid="{7819BAFA-2C38-4C5B-8D9D-C919A27B2A02}"/>
    <hyperlink ref="R13" r:id="rId11" xr:uid="{7322FB7E-FE53-42D0-AD5B-AD28528CB68D}"/>
    <hyperlink ref="R14" r:id="rId12" xr:uid="{3B4957C5-F9E6-4F07-B475-F5D6643A7709}"/>
    <hyperlink ref="R15" r:id="rId13" xr:uid="{1E8ABB78-EC9B-420E-B043-9F34A364E196}"/>
    <hyperlink ref="R16" r:id="rId14" xr:uid="{CEA5CE04-F5D7-4A9E-9C1C-AF0F6CF06133}"/>
    <hyperlink ref="R21" r:id="rId15" xr:uid="{3926D31C-070C-4D30-AB98-55359DD3164F}"/>
    <hyperlink ref="R22" r:id="rId16" xr:uid="{64058A9A-E4CE-4EBD-8E08-F7F4B9ED5128}"/>
    <hyperlink ref="R23" r:id="rId17" xr:uid="{446BB0F1-3F6A-4D2F-822D-45D82F392385}"/>
    <hyperlink ref="R24" r:id="rId18" xr:uid="{9CA3997E-1B16-4CA7-8684-618BE0AB1657}"/>
    <hyperlink ref="R25" r:id="rId19" xr:uid="{692B5C44-855E-438F-AA08-4A160586278B}"/>
    <hyperlink ref="R26" r:id="rId20" xr:uid="{22D8ADE2-7599-4A12-A410-A1E1B034BA8D}"/>
    <hyperlink ref="R27" r:id="rId21" xr:uid="{67DFB777-6E48-4DE7-8689-0F8B175FBA48}"/>
    <hyperlink ref="R28" r:id="rId22" xr:uid="{0CED09F6-FA99-4E18-B64F-C553BD006C13}"/>
    <hyperlink ref="R29" r:id="rId23" xr:uid="{DE177842-D4FE-484F-B929-FCA26D2D97EF}"/>
    <hyperlink ref="R31" r:id="rId24" xr:uid="{2D8C109F-AD22-4D5C-B74C-88AE3AF2A5D4}"/>
    <hyperlink ref="R34" r:id="rId25" xr:uid="{6AC6B9BE-B26D-4EF1-936F-461A1A9430DA}"/>
    <hyperlink ref="R35" r:id="rId26" xr:uid="{C9F93054-84F6-456D-A3C9-1AF0FD069B79}"/>
    <hyperlink ref="R36" r:id="rId27" xr:uid="{4C17704B-150A-44CF-B648-0A079D3279E7}"/>
    <hyperlink ref="R37" r:id="rId28" xr:uid="{87D0978E-6184-40AD-977F-D2989E7A2C48}"/>
    <hyperlink ref="R38" r:id="rId29" xr:uid="{08136511-0CC9-4441-AFB1-80D6BEAF64A6}"/>
    <hyperlink ref="R39" r:id="rId30" xr:uid="{D7F65A3C-702C-4330-9DB4-5DA1B45224C0}"/>
    <hyperlink ref="R40" r:id="rId31" xr:uid="{1BBAFF7B-26CA-4F76-9C08-24EE4CA5C7CC}"/>
    <hyperlink ref="R41" r:id="rId32" xr:uid="{22F8B834-0927-4EF5-A72D-D7CE784E7790}"/>
    <hyperlink ref="R42" r:id="rId33" xr:uid="{792A0952-3049-43BB-9451-508E82DF7DEE}"/>
    <hyperlink ref="R43" r:id="rId34" xr:uid="{010A954D-1AE4-4F28-AD9A-026C62F06C9E}"/>
    <hyperlink ref="R44" r:id="rId35" xr:uid="{A0F4F9CD-ED75-489A-854C-04EF737D976D}"/>
    <hyperlink ref="R45" r:id="rId36" xr:uid="{1C6A1E52-C33C-4B29-9C78-2435035E4316}"/>
    <hyperlink ref="R46" r:id="rId37" xr:uid="{131E2FE3-264B-432E-B1CC-AB61B7A93F71}"/>
    <hyperlink ref="R55" r:id="rId38" xr:uid="{F8383E54-D15F-4931-BE1A-F9DB0910445F}"/>
    <hyperlink ref="R56" r:id="rId39" xr:uid="{7779DDE5-27F8-4EC8-B73A-916493931867}"/>
    <hyperlink ref="R57" r:id="rId40" xr:uid="{C964C42F-5892-4A29-A28E-AFEBE4E21911}"/>
    <hyperlink ref="R58" r:id="rId41" xr:uid="{853399A6-756C-46AF-A724-A384DA20296A}"/>
    <hyperlink ref="R59" r:id="rId42" xr:uid="{DA7A784E-9E81-4975-B12F-A025E94B4125}"/>
    <hyperlink ref="R97" r:id="rId43" xr:uid="{234FDA16-7390-48FB-A8E2-17BFF0ECF89A}"/>
    <hyperlink ref="R98" r:id="rId44" xr:uid="{7816BE3E-EBA6-4A42-93BF-E9CEDBF6191B}"/>
    <hyperlink ref="R99" r:id="rId45" xr:uid="{DB02893C-62B3-4747-B9CB-40D7483B21ED}"/>
    <hyperlink ref="R100" r:id="rId46" xr:uid="{A848C56B-E5F2-427B-9B33-15DF9C53B92B}"/>
    <hyperlink ref="R101" r:id="rId47" xr:uid="{BCFBDD1C-F9CF-4F96-B997-FB7F077B14BB}"/>
    <hyperlink ref="R102" r:id="rId48" xr:uid="{5E9AAED0-6DDD-4AF5-AD73-783A7DCF2F28}"/>
    <hyperlink ref="R103" r:id="rId49" xr:uid="{9F94BE99-9874-437A-9C6F-F306D576706A}"/>
    <hyperlink ref="R104" r:id="rId50" xr:uid="{721C5407-C0C6-4F06-9290-E72A765EF3A4}"/>
    <hyperlink ref="R66" r:id="rId51" xr:uid="{B7ABD40E-E785-4A6E-927A-8C17D749DB36}"/>
    <hyperlink ref="R67" r:id="rId52" xr:uid="{7C7F7E7F-F710-41FF-8961-A1DAE6F0CF28}"/>
    <hyperlink ref="R68" r:id="rId53" xr:uid="{52613830-3A07-4364-839B-D5CC8B20EC6C}"/>
    <hyperlink ref="R69" r:id="rId54" xr:uid="{306C1A50-1F5D-4EE7-8BF7-671D782A465C}"/>
    <hyperlink ref="R70" r:id="rId55" xr:uid="{C2F33FA4-4E13-4415-A898-7BF54086D843}"/>
    <hyperlink ref="R71" r:id="rId56" xr:uid="{C610F4B1-A9B2-447A-B82E-8A4F3A7F8013}"/>
    <hyperlink ref="R72" r:id="rId57" xr:uid="{49770C05-FF56-4A3D-8A52-1F8253C717DE}"/>
    <hyperlink ref="R73" r:id="rId58" xr:uid="{A658739F-DC0E-4446-9E4E-62FCB17F4AC3}"/>
    <hyperlink ref="R74" r:id="rId59" xr:uid="{EE02B624-4554-493B-AB76-591924097AE0}"/>
    <hyperlink ref="R75" r:id="rId60" xr:uid="{972E4311-D023-4BD6-843B-6AF7B3558827}"/>
    <hyperlink ref="R76" r:id="rId61" xr:uid="{C745A694-D2CA-4849-9BAA-4B5ED6BC9184}"/>
    <hyperlink ref="R77" r:id="rId62" xr:uid="{3CE1C970-8808-49B2-AEAD-7304F0435864}"/>
    <hyperlink ref="R78" r:id="rId63" xr:uid="{5577F296-59EB-49F7-B7DF-0E82B003F3FB}"/>
    <hyperlink ref="R79" r:id="rId64" xr:uid="{6A50902B-4596-4A3A-B4B4-A02E8537EE8D}"/>
    <hyperlink ref="R80" r:id="rId65" xr:uid="{1C8C87FF-D220-4BD9-822D-C59294A3F35F}"/>
    <hyperlink ref="R81" r:id="rId66" xr:uid="{3E7F92BA-5487-416C-9C0A-E39EDDC0CEFE}"/>
    <hyperlink ref="R82" r:id="rId67" xr:uid="{C8C92542-39AA-4C22-B04A-AFE0D742AE95}"/>
    <hyperlink ref="R83" r:id="rId68" xr:uid="{2A3DB61C-F3DC-4925-995B-91A08BD3B843}"/>
    <hyperlink ref="R84" r:id="rId69" xr:uid="{276441ED-3944-47B9-AA38-107B5C432019}"/>
    <hyperlink ref="R85" r:id="rId70" xr:uid="{883439D9-4B1C-472D-8BE5-CDE434E61932}"/>
    <hyperlink ref="R88" r:id="rId71" xr:uid="{8772EBA7-2016-4E33-A2BD-430A17DD3C5E}"/>
    <hyperlink ref="R89" r:id="rId72" xr:uid="{70A61011-F900-4BFF-BC31-E070E0FB0429}"/>
    <hyperlink ref="R90" r:id="rId73" xr:uid="{5E107973-222B-4983-B479-561E97863188}"/>
    <hyperlink ref="R91" r:id="rId74" xr:uid="{D6636EFD-6E9C-4F55-8615-266AA09F2DFB}"/>
    <hyperlink ref="R92" r:id="rId75" xr:uid="{FD77FAF3-2245-4132-8067-6E6A44D877DB}"/>
    <hyperlink ref="R93" r:id="rId76" xr:uid="{010FCB70-764C-4015-93C6-0D0E5CDE1E4C}"/>
    <hyperlink ref="R94" r:id="rId77" xr:uid="{68C85839-85E7-43E7-AC98-A807BB150CAF}"/>
    <hyperlink ref="R95" r:id="rId78" xr:uid="{2CFE6840-9E82-47F7-B0E1-16F9B6C30FBE}"/>
    <hyperlink ref="C2:C8" r:id="rId79" display="03_Decretos Expansión/2019 Decreto Exento N°198.pdf" xr:uid="{838EE80C-4CC4-4A7F-978A-5981AA01C21F}"/>
    <hyperlink ref="C25:C71" r:id="rId80" display="03_Decretos Expansión/2019 Decreto Exento N°231.pdf" xr:uid="{83E37BC4-2DD4-4098-A303-DB152C88ADDF}"/>
    <hyperlink ref="C72:C80" r:id="rId81" display="03_Decretos Expansión/2017 Decreto Exento N°422.pdf" xr:uid="{6FE00B91-71D7-4340-B5B0-144B125245D4}"/>
    <hyperlink ref="C81:C83" r:id="rId82" display="03_Decretos Expansión/2019 Decreto Exento N°231.pdf" xr:uid="{5795BB8D-1754-4C8E-BC1C-E0FEF677F843}"/>
    <hyperlink ref="C84:C91" r:id="rId83" display="03_Decretos Expansión/2019 Decreto Exento N°198.pdf" xr:uid="{304BC055-1FD5-4876-A3D4-EEB05B805D4D}"/>
    <hyperlink ref="C211" r:id="rId84" display="03_Decretos Expansión/2019 Decreto Exento N°231.pdf" xr:uid="{5A3F2B9B-C82C-45B5-AEC3-D6C01761CA68}"/>
    <hyperlink ref="C9:C24" r:id="rId85" display="03_Decretos Expansión/2019 Decreto Exento N°231.pdf" xr:uid="{3FFD1B93-C3DC-4AA6-BA29-E53551DBAC0E}"/>
  </hyperlinks>
  <pageMargins left="0.7" right="0.7" top="0.75" bottom="0.75" header="0.3" footer="0.3"/>
  <pageSetup orientation="portrait" r:id="rId86"/>
  <legacyDrawing r:id="rId87"/>
  <tableParts count="1">
    <tablePart r:id="rId8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BD GENERAL</vt:lpstr>
      <vt:lpstr>Maestro de Obras</vt:lpstr>
      <vt:lpstr>Obras Desiertas</vt:lpstr>
      <vt:lpstr>Registrar proponente</vt:lpstr>
      <vt:lpstr>Mestro Proponentes</vt:lpstr>
      <vt:lpstr>PROPONENTES</vt:lpstr>
      <vt:lpstr>Hoja2</vt:lpstr>
      <vt:lpstr>Datos Base</vt:lpstr>
      <vt:lpstr>ALIAS</vt:lpstr>
      <vt:lpstr>AliasObra</vt:lpstr>
      <vt:lpstr>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Gutiérrez Alarcón</dc:creator>
  <cp:lastModifiedBy>Matias Cruz Diaz</cp:lastModifiedBy>
  <dcterms:created xsi:type="dcterms:W3CDTF">2023-05-29T20:58:23Z</dcterms:created>
  <dcterms:modified xsi:type="dcterms:W3CDTF">2023-06-20T20:36:43Z</dcterms:modified>
</cp:coreProperties>
</file>